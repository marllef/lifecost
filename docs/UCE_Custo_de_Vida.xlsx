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eta" sheetId="1" state="visible" r:id="rId3"/>
    <sheet name="Instruções" sheetId="2" state="visible" r:id="rId4"/>
  </sheets>
  <definedNames>
    <definedName function="false" hidden="false" localSheetId="0" name="_xlnm.Print_Titles" vbProcedure="false">Coleta!$4:$5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<sst xmlns="http://schemas.openxmlformats.org/spreadsheetml/2006/main" count="241" uniqueCount="113">
  <si>
    <t xml:space="preserve">UCE – PROJETO CUSTO DE VIDA</t>
  </si>
  <si>
    <t xml:space="preserve">Preencha apenas as células amarelas. A coluna verde calcula o preço na quantidade padrão (regra de 3). Veja a aba Instruções.</t>
  </si>
  <si>
    <t xml:space="preserve">#</t>
  </si>
  <si>
    <t xml:space="preserve">Produto</t>
  </si>
  <si>
    <t xml:space="preserve">Unidade (tabela)</t>
  </si>
  <si>
    <t xml:space="preserve">Qtd padrão</t>
  </si>
  <si>
    <t xml:space="preserve">Unid. base</t>
  </si>
  <si>
    <t xml:space="preserve">Estabelecimento A</t>
  </si>
  <si>
    <t xml:space="preserve">Estabelecimento B</t>
  </si>
  <si>
    <t xml:space="preserve">Estabelecimento C</t>
  </si>
  <si>
    <t xml:space="preserve">Estabelecimento D</t>
  </si>
  <si>
    <t xml:space="preserve">Resumo (preços convertidos)</t>
  </si>
  <si>
    <t xml:space="preserve">Preço encontrado (R$)</t>
  </si>
  <si>
    <t xml:space="preserve">Qtd encontrada</t>
  </si>
  <si>
    <t xml:space="preserve">Preço convertido (R$)</t>
  </si>
  <si>
    <t xml:space="preserve">Média</t>
  </si>
  <si>
    <t xml:space="preserve">Menor</t>
  </si>
  <si>
    <t xml:space="preserve">Maior</t>
  </si>
  <si>
    <t xml:space="preserve">Nº de preços</t>
  </si>
  <si>
    <t xml:space="preserve">Abacaxi</t>
  </si>
  <si>
    <t xml:space="preserve">1 unidade</t>
  </si>
  <si>
    <t xml:space="preserve">unid</t>
  </si>
  <si>
    <t xml:space="preserve">Absorvente higiênico</t>
  </si>
  <si>
    <t xml:space="preserve">10 unid.</t>
  </si>
  <si>
    <t xml:space="preserve">Açúcar</t>
  </si>
  <si>
    <t xml:space="preserve">1 kg</t>
  </si>
  <si>
    <t xml:space="preserve">g</t>
  </si>
  <si>
    <t xml:space="preserve">Água sanitária</t>
  </si>
  <si>
    <t xml:space="preserve">1 L</t>
  </si>
  <si>
    <t xml:space="preserve">ml</t>
  </si>
  <si>
    <t xml:space="preserve">Alho</t>
  </si>
  <si>
    <t xml:space="preserve">Amaciante de roupa</t>
  </si>
  <si>
    <t xml:space="preserve">500 ml</t>
  </si>
  <si>
    <t xml:space="preserve">Arroz</t>
  </si>
  <si>
    <t xml:space="preserve">Banana</t>
  </si>
  <si>
    <t xml:space="preserve">Barbeador</t>
  </si>
  <si>
    <t xml:space="preserve">Batata-doce</t>
  </si>
  <si>
    <t xml:space="preserve">Batata inglesa</t>
  </si>
  <si>
    <t xml:space="preserve">Beterraba</t>
  </si>
  <si>
    <t xml:space="preserve">Biscoito cream cracker</t>
  </si>
  <si>
    <t xml:space="preserve">Biscoito comum</t>
  </si>
  <si>
    <t xml:space="preserve">Bolachas</t>
  </si>
  <si>
    <t xml:space="preserve">Café</t>
  </si>
  <si>
    <t xml:space="preserve">Carne bovina com osso</t>
  </si>
  <si>
    <t xml:space="preserve">Carne bovina sem osso</t>
  </si>
  <si>
    <t xml:space="preserve">Cebola</t>
  </si>
  <si>
    <t xml:space="preserve">Cenoura</t>
  </si>
  <si>
    <t xml:space="preserve">Colônia simples</t>
  </si>
  <si>
    <t xml:space="preserve">100 ml</t>
  </si>
  <si>
    <t xml:space="preserve">Condicionador de cabelo</t>
  </si>
  <si>
    <t xml:space="preserve">Cotonetes</t>
  </si>
  <si>
    <t xml:space="preserve">75 unid.</t>
  </si>
  <si>
    <t xml:space="preserve">Creme dental</t>
  </si>
  <si>
    <t xml:space="preserve">90 g</t>
  </si>
  <si>
    <t xml:space="preserve">Desinfetante</t>
  </si>
  <si>
    <t xml:space="preserve">750 ml</t>
  </si>
  <si>
    <t xml:space="preserve">Desodorante</t>
  </si>
  <si>
    <t xml:space="preserve">90 ml</t>
  </si>
  <si>
    <t xml:space="preserve">Detergente</t>
  </si>
  <si>
    <t xml:space="preserve">Doce em barras</t>
  </si>
  <si>
    <t xml:space="preserve">Doce em lata</t>
  </si>
  <si>
    <t xml:space="preserve">Farinha de mandioca</t>
  </si>
  <si>
    <t xml:space="preserve">Farinha de trigo</t>
  </si>
  <si>
    <t xml:space="preserve">Feijão de corda</t>
  </si>
  <si>
    <t xml:space="preserve">Feijão mulatinho</t>
  </si>
  <si>
    <t xml:space="preserve">Feijão preto</t>
  </si>
  <si>
    <t xml:space="preserve">Frango congelado</t>
  </si>
  <si>
    <t xml:space="preserve">Fubá de milho</t>
  </si>
  <si>
    <t xml:space="preserve">Laranja</t>
  </si>
  <si>
    <t xml:space="preserve">Leite em caixa</t>
  </si>
  <si>
    <t xml:space="preserve">Leite in natura (leiteiro)</t>
  </si>
  <si>
    <t xml:space="preserve">Macarrão</t>
  </si>
  <si>
    <t xml:space="preserve">Maionese</t>
  </si>
  <si>
    <t xml:space="preserve">250 ml</t>
  </si>
  <si>
    <t xml:space="preserve">Margarina</t>
  </si>
  <si>
    <t xml:space="preserve">Óleo de algodão</t>
  </si>
  <si>
    <t xml:space="preserve">Óleo de girassol</t>
  </si>
  <si>
    <t xml:space="preserve">Óleo de milho</t>
  </si>
  <si>
    <t xml:space="preserve">Óleo de soja</t>
  </si>
  <si>
    <t xml:space="preserve">Ovos</t>
  </si>
  <si>
    <t xml:space="preserve">1 dúzia</t>
  </si>
  <si>
    <t xml:space="preserve">Pão doce</t>
  </si>
  <si>
    <t xml:space="preserve">Pão de forma</t>
  </si>
  <si>
    <t xml:space="preserve">Pão francês</t>
  </si>
  <si>
    <t xml:space="preserve">Papel higiênico</t>
  </si>
  <si>
    <t xml:space="preserve">1 unid.</t>
  </si>
  <si>
    <t xml:space="preserve">Pimentão</t>
  </si>
  <si>
    <t xml:space="preserve">Rapadura</t>
  </si>
  <si>
    <t xml:space="preserve">Refrigerante</t>
  </si>
  <si>
    <t xml:space="preserve">Sabão em barra</t>
  </si>
  <si>
    <t xml:space="preserve">Sabão em pó</t>
  </si>
  <si>
    <t xml:space="preserve">Sabonete</t>
  </si>
  <si>
    <t xml:space="preserve">100 g</t>
  </si>
  <si>
    <t xml:space="preserve">Sal</t>
  </si>
  <si>
    <t xml:space="preserve">Shampoo</t>
  </si>
  <si>
    <t xml:space="preserve">Tempero</t>
  </si>
  <si>
    <t xml:space="preserve">Tomate</t>
  </si>
  <si>
    <t xml:space="preserve">Vassoura (piaçava)</t>
  </si>
  <si>
    <t xml:space="preserve">TOTAL DA CESTA (soma dos preços convertidos)</t>
  </si>
  <si>
    <t xml:space="preserve">COMO USAR</t>
  </si>
  <si>
    <t xml:space="preserve">1. Na aba Coleta, digite os nomes reais dos estabelecimentos nas células amarelas do cabeçalho (onde está 'Estabelecimento A', 'B'...).</t>
  </si>
  <si>
    <t xml:space="preserve">2. Para cada produto, digite o preço encontrado na coluna 'Preço encontrado (R$)'.</t>
  </si>
  <si>
    <t xml:space="preserve">3. Se a embalagem for igual à da tabela, deixe 'Qtd encontrada' em branco. O preço convertido será igual ao encontrado.</t>
  </si>
  <si>
    <t xml:space="preserve">4. Se a embalagem for diferente, digite em 'Qtd encontrada' a quantidade da embalagem que você achou, SEMPRE na unidade da coluna 'Unid. base' (g, ml ou unid).</t>
  </si>
  <si>
    <t xml:space="preserve">5. A coluna verde calcula automaticamente: Preço convertido = Preço encontrado × Qtd padrão ÷ Qtd encontrada.</t>
  </si>
  <si>
    <t xml:space="preserve">6. Preços convertidos a partir de embalagem diferente ficam destacados em laranja, para você identificar e citar em nota no trabalho.</t>
  </si>
  <si>
    <t xml:space="preserve">ATENÇÃO ÀS UNIDADES</t>
  </si>
  <si>
    <t xml:space="preserve">A 'Qtd padrão' está em gramas (g), mililitros (ml) ou unidades (unid). 1 kg = 1000 g · 1 L = 1000 ml · 1 dúzia = 12 unid.</t>
  </si>
  <si>
    <t xml:space="preserve">Ex.: achou arroz de 5 kg → digite 5000. Achou café de 250 g → digite 250. Achou refrigerante de 2 L → digite 2000. Ovos em cartela de 30 → digite 30.</t>
  </si>
  <si>
    <t xml:space="preserve">EXEMPLOS (não são dados reais da pesquisa)</t>
  </si>
  <si>
    <t xml:space="preserve">Preço encontrado</t>
  </si>
  <si>
    <t xml:space="preserve">Preço convertido</t>
  </si>
  <si>
    <t xml:space="preserve">No açúcar, a Qtd encontrada ficou em branco porque a embalagem era a mesma da tabela (1 kg).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</si>
</sst>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;&quot;-R$ &quot;#,##0.00;\-"/>
    <numFmt numFmtId="166" formatCode="#,##0.###"/>
    <numFmt numFmtId="167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9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i val="1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6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21" min="6" style="0" width="12.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/>
      <c r="H4" s="4"/>
      <c r="I4" s="4" t="s">
        <v>8</v>
      </c>
      <c r="J4" s="4"/>
      <c r="K4" s="4"/>
      <c r="L4" s="4" t="s">
        <v>9</v>
      </c>
      <c r="M4" s="4"/>
      <c r="N4" s="4"/>
      <c r="O4" s="4" t="s">
        <v>10</v>
      </c>
      <c r="P4" s="4"/>
      <c r="Q4" s="4"/>
      <c r="R4" s="3" t="s">
        <v>11</v>
      </c>
      <c r="S4" s="3"/>
      <c r="T4" s="3"/>
      <c r="U4" s="3"/>
    </row>
    <row r="5" customFormat="false" ht="31.5" hidden="false" customHeight="true" outlineLevel="0" collapsed="false">
      <c r="A5" s="3"/>
      <c r="B5" s="3"/>
      <c r="C5" s="3"/>
      <c r="D5" s="3"/>
      <c r="E5" s="3"/>
      <c r="F5" s="5" t="s">
        <v>12</v>
      </c>
      <c r="G5" s="5" t="s">
        <v>13</v>
      </c>
      <c r="H5" s="5" t="s">
        <v>14</v>
      </c>
      <c r="I5" s="5" t="s">
        <v>12</v>
      </c>
      <c r="J5" s="5" t="s">
        <v>13</v>
      </c>
      <c r="K5" s="5" t="s">
        <v>14</v>
      </c>
      <c r="L5" s="5" t="s">
        <v>12</v>
      </c>
      <c r="M5" s="5" t="s">
        <v>13</v>
      </c>
      <c r="N5" s="5" t="s">
        <v>14</v>
      </c>
      <c r="O5" s="5" t="s">
        <v>12</v>
      </c>
      <c r="P5" s="5" t="s">
        <v>13</v>
      </c>
      <c r="Q5" s="5" t="s">
        <v>14</v>
      </c>
      <c r="R5" s="5" t="s">
        <v>15</v>
      </c>
      <c r="S5" s="5" t="s">
        <v>16</v>
      </c>
      <c r="T5" s="5" t="s">
        <v>17</v>
      </c>
      <c r="U5" s="5" t="s">
        <v>18</v>
      </c>
    </row>
    <row r="6" customFormat="false" ht="15" hidden="false" customHeight="false" outlineLevel="0" collapsed="false">
      <c r="A6" s="6" t="n">
        <v>1</v>
      </c>
      <c r="B6" s="7" t="s">
        <v>19</v>
      </c>
      <c r="C6" s="6" t="s">
        <v>20</v>
      </c>
      <c r="D6" s="6" t="n">
        <v>1</v>
      </c>
      <c r="E6" s="6" t="s">
        <v>21</v>
      </c>
      <c r="F6" s="8"/>
      <c r="G6" s="9"/>
      <c r="H6" s="10" t="str">
        <f aca="false">IF(F6="","",F6*$D6/IF(G6="",$D6,G6))</f>
        <v/>
      </c>
      <c r="I6" s="8"/>
      <c r="J6" s="9"/>
      <c r="K6" s="10" t="str">
        <f aca="false">IF(I6="","",I6*$D6/IF(J6="",$D6,J6))</f>
        <v/>
      </c>
      <c r="L6" s="8"/>
      <c r="M6" s="9"/>
      <c r="N6" s="10" t="str">
        <f aca="false">IF(L6="","",L6*$D6/IF(M6="",$D6,M6))</f>
        <v/>
      </c>
      <c r="O6" s="8"/>
      <c r="P6" s="9"/>
      <c r="Q6" s="10" t="str">
        <f aca="false">IF(O6="","",O6*$D6/IF(P6="",$D6,P6))</f>
        <v/>
      </c>
      <c r="R6" s="11" t="str">
        <f aca="false">IF(COUNT(H6,K6,N6,Q6)=0,"",AVERAGE(H6,K6,N6,Q6))</f>
        <v/>
      </c>
      <c r="S6" s="11" t="str">
        <f aca="false">IF(COUNT(H6,K6,N6,Q6)=0,"",MIN(H6,K6,N6,Q6))</f>
        <v/>
      </c>
      <c r="T6" s="11" t="str">
        <f aca="false">IF(COUNT(H6,K6,N6,Q6)=0,"",MAX(H6,K6,N6,Q6))</f>
        <v/>
      </c>
      <c r="U6" s="12" t="n">
        <f aca="false">COUNT(H6,K6,N6,Q6)</f>
        <v>0</v>
      </c>
    </row>
    <row r="7" customFormat="false" ht="15" hidden="false" customHeight="false" outlineLevel="0" collapsed="false">
      <c r="A7" s="6" t="n">
        <v>2</v>
      </c>
      <c r="B7" s="7" t="s">
        <v>22</v>
      </c>
      <c r="C7" s="6" t="s">
        <v>23</v>
      </c>
      <c r="D7" s="6" t="n">
        <v>10</v>
      </c>
      <c r="E7" s="6" t="s">
        <v>21</v>
      </c>
      <c r="F7" s="8"/>
      <c r="G7" s="9"/>
      <c r="H7" s="10" t="str">
        <f aca="false">IF(F7="","",F7*$D7/IF(G7="",$D7,G7))</f>
        <v/>
      </c>
      <c r="I7" s="8"/>
      <c r="J7" s="9"/>
      <c r="K7" s="10" t="str">
        <f aca="false">IF(I7="","",I7*$D7/IF(J7="",$D7,J7))</f>
        <v/>
      </c>
      <c r="L7" s="8"/>
      <c r="M7" s="9"/>
      <c r="N7" s="10" t="str">
        <f aca="false">IF(L7="","",L7*$D7/IF(M7="",$D7,M7))</f>
        <v/>
      </c>
      <c r="O7" s="8"/>
      <c r="P7" s="9"/>
      <c r="Q7" s="10" t="str">
        <f aca="false">IF(O7="","",O7*$D7/IF(P7="",$D7,P7))</f>
        <v/>
      </c>
      <c r="R7" s="11" t="str">
        <f aca="false">IF(COUNT(H7,K7,N7,Q7)=0,"",AVERAGE(H7,K7,N7,Q7))</f>
        <v/>
      </c>
      <c r="S7" s="11" t="str">
        <f aca="false">IF(COUNT(H7,K7,N7,Q7)=0,"",MIN(H7,K7,N7,Q7))</f>
        <v/>
      </c>
      <c r="T7" s="11" t="str">
        <f aca="false">IF(COUNT(H7,K7,N7,Q7)=0,"",MAX(H7,K7,N7,Q7))</f>
        <v/>
      </c>
      <c r="U7" s="12" t="n">
        <f aca="false">COUNT(H7,K7,N7,Q7)</f>
        <v>0</v>
      </c>
    </row>
    <row r="8" customFormat="false" ht="15" hidden="false" customHeight="false" outlineLevel="0" collapsed="false">
      <c r="A8" s="6" t="n">
        <v>3</v>
      </c>
      <c r="B8" s="7" t="s">
        <v>24</v>
      </c>
      <c r="C8" s="6" t="s">
        <v>25</v>
      </c>
      <c r="D8" s="6" t="n">
        <v>1000</v>
      </c>
      <c r="E8" s="6" t="s">
        <v>26</v>
      </c>
      <c r="F8" s="8"/>
      <c r="G8" s="9"/>
      <c r="H8" s="10" t="str">
        <f aca="false">IF(F8="","",F8*$D8/IF(G8="",$D8,G8))</f>
        <v/>
      </c>
      <c r="I8" s="8"/>
      <c r="J8" s="9"/>
      <c r="K8" s="10" t="str">
        <f aca="false">IF(I8="","",I8*$D8/IF(J8="",$D8,J8))</f>
        <v/>
      </c>
      <c r="L8" s="8"/>
      <c r="M8" s="9"/>
      <c r="N8" s="10" t="str">
        <f aca="false">IF(L8="","",L8*$D8/IF(M8="",$D8,M8))</f>
        <v/>
      </c>
      <c r="O8" s="8"/>
      <c r="P8" s="9"/>
      <c r="Q8" s="10" t="str">
        <f aca="false">IF(O8="","",O8*$D8/IF(P8="",$D8,P8))</f>
        <v/>
      </c>
      <c r="R8" s="11" t="str">
        <f aca="false">IF(COUNT(H8,K8,N8,Q8)=0,"",AVERAGE(H8,K8,N8,Q8))</f>
        <v/>
      </c>
      <c r="S8" s="11" t="str">
        <f aca="false">IF(COUNT(H8,K8,N8,Q8)=0,"",MIN(H8,K8,N8,Q8))</f>
        <v/>
      </c>
      <c r="T8" s="11" t="str">
        <f aca="false">IF(COUNT(H8,K8,N8,Q8)=0,"",MAX(H8,K8,N8,Q8))</f>
        <v/>
      </c>
      <c r="U8" s="12" t="n">
        <f aca="false">COUNT(H8,K8,N8,Q8)</f>
        <v>0</v>
      </c>
    </row>
    <row r="9" customFormat="false" ht="15" hidden="false" customHeight="false" outlineLevel="0" collapsed="false">
      <c r="A9" s="6" t="n">
        <v>4</v>
      </c>
      <c r="B9" s="7" t="s">
        <v>27</v>
      </c>
      <c r="C9" s="6" t="s">
        <v>28</v>
      </c>
      <c r="D9" s="6" t="n">
        <v>1000</v>
      </c>
      <c r="E9" s="6" t="s">
        <v>29</v>
      </c>
      <c r="F9" s="8"/>
      <c r="G9" s="9"/>
      <c r="H9" s="10" t="str">
        <f aca="false">IF(F9="","",F9*$D9/IF(G9="",$D9,G9))</f>
        <v/>
      </c>
      <c r="I9" s="8"/>
      <c r="J9" s="9"/>
      <c r="K9" s="10" t="str">
        <f aca="false">IF(I9="","",I9*$D9/IF(J9="",$D9,J9))</f>
        <v/>
      </c>
      <c r="L9" s="8"/>
      <c r="M9" s="9"/>
      <c r="N9" s="10" t="str">
        <f aca="false">IF(L9="","",L9*$D9/IF(M9="",$D9,M9))</f>
        <v/>
      </c>
      <c r="O9" s="8"/>
      <c r="P9" s="9"/>
      <c r="Q9" s="10" t="str">
        <f aca="false">IF(O9="","",O9*$D9/IF(P9="",$D9,P9))</f>
        <v/>
      </c>
      <c r="R9" s="11" t="str">
        <f aca="false">IF(COUNT(H9,K9,N9,Q9)=0,"",AVERAGE(H9,K9,N9,Q9))</f>
        <v/>
      </c>
      <c r="S9" s="11" t="str">
        <f aca="false">IF(COUNT(H9,K9,N9,Q9)=0,"",MIN(H9,K9,N9,Q9))</f>
        <v/>
      </c>
      <c r="T9" s="11" t="str">
        <f aca="false">IF(COUNT(H9,K9,N9,Q9)=0,"",MAX(H9,K9,N9,Q9))</f>
        <v/>
      </c>
      <c r="U9" s="12" t="n">
        <f aca="false">COUNT(H9,K9,N9,Q9)</f>
        <v>0</v>
      </c>
    </row>
    <row r="10" customFormat="false" ht="15" hidden="false" customHeight="false" outlineLevel="0" collapsed="false">
      <c r="A10" s="6" t="n">
        <v>5</v>
      </c>
      <c r="B10" s="7" t="s">
        <v>30</v>
      </c>
      <c r="C10" s="6" t="s">
        <v>25</v>
      </c>
      <c r="D10" s="6" t="n">
        <v>1000</v>
      </c>
      <c r="E10" s="6" t="s">
        <v>26</v>
      </c>
      <c r="F10" s="8"/>
      <c r="G10" s="9"/>
      <c r="H10" s="10" t="str">
        <f aca="false">IF(F10="","",F10*$D10/IF(G10="",$D10,G10))</f>
        <v/>
      </c>
      <c r="I10" s="8"/>
      <c r="J10" s="9"/>
      <c r="K10" s="10" t="str">
        <f aca="false">IF(I10="","",I10*$D10/IF(J10="",$D10,J10))</f>
        <v/>
      </c>
      <c r="L10" s="8"/>
      <c r="M10" s="9"/>
      <c r="N10" s="10" t="str">
        <f aca="false">IF(L10="","",L10*$D10/IF(M10="",$D10,M10))</f>
        <v/>
      </c>
      <c r="O10" s="8"/>
      <c r="P10" s="9"/>
      <c r="Q10" s="10" t="str">
        <f aca="false">IF(O10="","",O10*$D10/IF(P10="",$D10,P10))</f>
        <v/>
      </c>
      <c r="R10" s="11" t="str">
        <f aca="false">IF(COUNT(H10,K10,N10,Q10)=0,"",AVERAGE(H10,K10,N10,Q10))</f>
        <v/>
      </c>
      <c r="S10" s="11" t="str">
        <f aca="false">IF(COUNT(H10,K10,N10,Q10)=0,"",MIN(H10,K10,N10,Q10))</f>
        <v/>
      </c>
      <c r="T10" s="11" t="str">
        <f aca="false">IF(COUNT(H10,K10,N10,Q10)=0,"",MAX(H10,K10,N10,Q10))</f>
        <v/>
      </c>
      <c r="U10" s="12" t="n">
        <f aca="false">COUNT(H10,K10,N10,Q10)</f>
        <v>0</v>
      </c>
    </row>
    <row r="11" customFormat="false" ht="15" hidden="false" customHeight="false" outlineLevel="0" collapsed="false">
      <c r="A11" s="6" t="n">
        <v>6</v>
      </c>
      <c r="B11" s="7" t="s">
        <v>31</v>
      </c>
      <c r="C11" s="6" t="s">
        <v>32</v>
      </c>
      <c r="D11" s="6" t="n">
        <v>500</v>
      </c>
      <c r="E11" s="6" t="s">
        <v>29</v>
      </c>
      <c r="F11" s="8"/>
      <c r="G11" s="9"/>
      <c r="H11" s="10" t="str">
        <f aca="false">IF(F11="","",F11*$D11/IF(G11="",$D11,G11))</f>
        <v/>
      </c>
      <c r="I11" s="8"/>
      <c r="J11" s="9"/>
      <c r="K11" s="10" t="str">
        <f aca="false">IF(I11="","",I11*$D11/IF(J11="",$D11,J11))</f>
        <v/>
      </c>
      <c r="L11" s="8"/>
      <c r="M11" s="9"/>
      <c r="N11" s="10" t="str">
        <f aca="false">IF(L11="","",L11*$D11/IF(M11="",$D11,M11))</f>
        <v/>
      </c>
      <c r="O11" s="8"/>
      <c r="P11" s="9"/>
      <c r="Q11" s="10" t="str">
        <f aca="false">IF(O11="","",O11*$D11/IF(P11="",$D11,P11))</f>
        <v/>
      </c>
      <c r="R11" s="11" t="str">
        <f aca="false">IF(COUNT(H11,K11,N11,Q11)=0,"",AVERAGE(H11,K11,N11,Q11))</f>
        <v/>
      </c>
      <c r="S11" s="11" t="str">
        <f aca="false">IF(COUNT(H11,K11,N11,Q11)=0,"",MIN(H11,K11,N11,Q11))</f>
        <v/>
      </c>
      <c r="T11" s="11" t="str">
        <f aca="false">IF(COUNT(H11,K11,N11,Q11)=0,"",MAX(H11,K11,N11,Q11))</f>
        <v/>
      </c>
      <c r="U11" s="12" t="n">
        <f aca="false">COUNT(H11,K11,N11,Q11)</f>
        <v>0</v>
      </c>
    </row>
    <row r="12" customFormat="false" ht="15" hidden="false" customHeight="false" outlineLevel="0" collapsed="false">
      <c r="A12" s="6" t="n">
        <v>7</v>
      </c>
      <c r="B12" s="7" t="s">
        <v>33</v>
      </c>
      <c r="C12" s="6" t="s">
        <v>25</v>
      </c>
      <c r="D12" s="6" t="n">
        <v>1000</v>
      </c>
      <c r="E12" s="6" t="s">
        <v>26</v>
      </c>
      <c r="F12" s="8"/>
      <c r="G12" s="9"/>
      <c r="H12" s="10" t="str">
        <f aca="false">IF(F12="","",F12*$D12/IF(G12="",$D12,G12))</f>
        <v/>
      </c>
      <c r="I12" s="8"/>
      <c r="J12" s="9"/>
      <c r="K12" s="10" t="str">
        <f aca="false">IF(I12="","",I12*$D12/IF(J12="",$D12,J12))</f>
        <v/>
      </c>
      <c r="L12" s="8"/>
      <c r="M12" s="9"/>
      <c r="N12" s="10" t="str">
        <f aca="false">IF(L12="","",L12*$D12/IF(M12="",$D12,M12))</f>
        <v/>
      </c>
      <c r="O12" s="8"/>
      <c r="P12" s="9"/>
      <c r="Q12" s="10" t="str">
        <f aca="false">IF(O12="","",O12*$D12/IF(P12="",$D12,P12))</f>
        <v/>
      </c>
      <c r="R12" s="11" t="str">
        <f aca="false">IF(COUNT(H12,K12,N12,Q12)=0,"",AVERAGE(H12,K12,N12,Q12))</f>
        <v/>
      </c>
      <c r="S12" s="11" t="str">
        <f aca="false">IF(COUNT(H12,K12,N12,Q12)=0,"",MIN(H12,K12,N12,Q12))</f>
        <v/>
      </c>
      <c r="T12" s="11" t="str">
        <f aca="false">IF(COUNT(H12,K12,N12,Q12)=0,"",MAX(H12,K12,N12,Q12))</f>
        <v/>
      </c>
      <c r="U12" s="12" t="n">
        <f aca="false">COUNT(H12,K12,N12,Q12)</f>
        <v>0</v>
      </c>
    </row>
    <row r="13" customFormat="false" ht="15" hidden="false" customHeight="false" outlineLevel="0" collapsed="false">
      <c r="A13" s="6" t="n">
        <v>8</v>
      </c>
      <c r="B13" s="7" t="s">
        <v>34</v>
      </c>
      <c r="C13" s="6" t="s">
        <v>25</v>
      </c>
      <c r="D13" s="6" t="n">
        <v>1000</v>
      </c>
      <c r="E13" s="6" t="s">
        <v>26</v>
      </c>
      <c r="F13" s="8"/>
      <c r="G13" s="9"/>
      <c r="H13" s="10" t="str">
        <f aca="false">IF(F13="","",F13*$D13/IF(G13="",$D13,G13))</f>
        <v/>
      </c>
      <c r="I13" s="8"/>
      <c r="J13" s="9"/>
      <c r="K13" s="10" t="str">
        <f aca="false">IF(I13="","",I13*$D13/IF(J13="",$D13,J13))</f>
        <v/>
      </c>
      <c r="L13" s="8"/>
      <c r="M13" s="9"/>
      <c r="N13" s="10" t="str">
        <f aca="false">IF(L13="","",L13*$D13/IF(M13="",$D13,M13))</f>
        <v/>
      </c>
      <c r="O13" s="8"/>
      <c r="P13" s="9"/>
      <c r="Q13" s="10" t="str">
        <f aca="false">IF(O13="","",O13*$D13/IF(P13="",$D13,P13))</f>
        <v/>
      </c>
      <c r="R13" s="11" t="str">
        <f aca="false">IF(COUNT(H13,K13,N13,Q13)=0,"",AVERAGE(H13,K13,N13,Q13))</f>
        <v/>
      </c>
      <c r="S13" s="11" t="str">
        <f aca="false">IF(COUNT(H13,K13,N13,Q13)=0,"",MIN(H13,K13,N13,Q13))</f>
        <v/>
      </c>
      <c r="T13" s="11" t="str">
        <f aca="false">IF(COUNT(H13,K13,N13,Q13)=0,"",MAX(H13,K13,N13,Q13))</f>
        <v/>
      </c>
      <c r="U13" s="12" t="n">
        <f aca="false">COUNT(H13,K13,N13,Q13)</f>
        <v>0</v>
      </c>
    </row>
    <row r="14" customFormat="false" ht="15" hidden="false" customHeight="false" outlineLevel="0" collapsed="false">
      <c r="A14" s="6" t="n">
        <v>9</v>
      </c>
      <c r="B14" s="7" t="s">
        <v>35</v>
      </c>
      <c r="C14" s="6" t="s">
        <v>20</v>
      </c>
      <c r="D14" s="6" t="n">
        <v>1</v>
      </c>
      <c r="E14" s="6" t="s">
        <v>21</v>
      </c>
      <c r="F14" s="8"/>
      <c r="G14" s="9"/>
      <c r="H14" s="10" t="str">
        <f aca="false">IF(F14="","",F14*$D14/IF(G14="",$D14,G14))</f>
        <v/>
      </c>
      <c r="I14" s="8"/>
      <c r="J14" s="9"/>
      <c r="K14" s="10" t="str">
        <f aca="false">IF(I14="","",I14*$D14/IF(J14="",$D14,J14))</f>
        <v/>
      </c>
      <c r="L14" s="8"/>
      <c r="M14" s="9"/>
      <c r="N14" s="10" t="str">
        <f aca="false">IF(L14="","",L14*$D14/IF(M14="",$D14,M14))</f>
        <v/>
      </c>
      <c r="O14" s="8"/>
      <c r="P14" s="9"/>
      <c r="Q14" s="10" t="str">
        <f aca="false">IF(O14="","",O14*$D14/IF(P14="",$D14,P14))</f>
        <v/>
      </c>
      <c r="R14" s="11" t="str">
        <f aca="false">IF(COUNT(H14,K14,N14,Q14)=0,"",AVERAGE(H14,K14,N14,Q14))</f>
        <v/>
      </c>
      <c r="S14" s="11" t="str">
        <f aca="false">IF(COUNT(H14,K14,N14,Q14)=0,"",MIN(H14,K14,N14,Q14))</f>
        <v/>
      </c>
      <c r="T14" s="11" t="str">
        <f aca="false">IF(COUNT(H14,K14,N14,Q14)=0,"",MAX(H14,K14,N14,Q14))</f>
        <v/>
      </c>
      <c r="U14" s="12" t="n">
        <f aca="false">COUNT(H14,K14,N14,Q14)</f>
        <v>0</v>
      </c>
    </row>
    <row r="15" customFormat="false" ht="15" hidden="false" customHeight="false" outlineLevel="0" collapsed="false">
      <c r="A15" s="6" t="n">
        <v>10</v>
      </c>
      <c r="B15" s="7" t="s">
        <v>36</v>
      </c>
      <c r="C15" s="6" t="s">
        <v>25</v>
      </c>
      <c r="D15" s="6" t="n">
        <v>1000</v>
      </c>
      <c r="E15" s="6" t="s">
        <v>26</v>
      </c>
      <c r="F15" s="8"/>
      <c r="G15" s="9"/>
      <c r="H15" s="10" t="str">
        <f aca="false">IF(F15="","",F15*$D15/IF(G15="",$D15,G15))</f>
        <v/>
      </c>
      <c r="I15" s="8"/>
      <c r="J15" s="9"/>
      <c r="K15" s="10" t="str">
        <f aca="false">IF(I15="","",I15*$D15/IF(J15="",$D15,J15))</f>
        <v/>
      </c>
      <c r="L15" s="8"/>
      <c r="M15" s="9"/>
      <c r="N15" s="10" t="str">
        <f aca="false">IF(L15="","",L15*$D15/IF(M15="",$D15,M15))</f>
        <v/>
      </c>
      <c r="O15" s="8"/>
      <c r="P15" s="9"/>
      <c r="Q15" s="10" t="str">
        <f aca="false">IF(O15="","",O15*$D15/IF(P15="",$D15,P15))</f>
        <v/>
      </c>
      <c r="R15" s="11" t="str">
        <f aca="false">IF(COUNT(H15,K15,N15,Q15)=0,"",AVERAGE(H15,K15,N15,Q15))</f>
        <v/>
      </c>
      <c r="S15" s="11" t="str">
        <f aca="false">IF(COUNT(H15,K15,N15,Q15)=0,"",MIN(H15,K15,N15,Q15))</f>
        <v/>
      </c>
      <c r="T15" s="11" t="str">
        <f aca="false">IF(COUNT(H15,K15,N15,Q15)=0,"",MAX(H15,K15,N15,Q15))</f>
        <v/>
      </c>
      <c r="U15" s="12" t="n">
        <f aca="false">COUNT(H15,K15,N15,Q15)</f>
        <v>0</v>
      </c>
    </row>
    <row r="16" customFormat="false" ht="15" hidden="false" customHeight="false" outlineLevel="0" collapsed="false">
      <c r="A16" s="6" t="n">
        <v>11</v>
      </c>
      <c r="B16" s="7" t="s">
        <v>37</v>
      </c>
      <c r="C16" s="6" t="s">
        <v>25</v>
      </c>
      <c r="D16" s="6" t="n">
        <v>1000</v>
      </c>
      <c r="E16" s="6" t="s">
        <v>26</v>
      </c>
      <c r="F16" s="8"/>
      <c r="G16" s="9"/>
      <c r="H16" s="10" t="str">
        <f aca="false">IF(F16="","",F16*$D16/IF(G16="",$D16,G16))</f>
        <v/>
      </c>
      <c r="I16" s="8"/>
      <c r="J16" s="9"/>
      <c r="K16" s="10" t="str">
        <f aca="false">IF(I16="","",I16*$D16/IF(J16="",$D16,J16))</f>
        <v/>
      </c>
      <c r="L16" s="8"/>
      <c r="M16" s="9"/>
      <c r="N16" s="10" t="str">
        <f aca="false">IF(L16="","",L16*$D16/IF(M16="",$D16,M16))</f>
        <v/>
      </c>
      <c r="O16" s="8"/>
      <c r="P16" s="9"/>
      <c r="Q16" s="10" t="str">
        <f aca="false">IF(O16="","",O16*$D16/IF(P16="",$D16,P16))</f>
        <v/>
      </c>
      <c r="R16" s="11" t="str">
        <f aca="false">IF(COUNT(H16,K16,N16,Q16)=0,"",AVERAGE(H16,K16,N16,Q16))</f>
        <v/>
      </c>
      <c r="S16" s="11" t="str">
        <f aca="false">IF(COUNT(H16,K16,N16,Q16)=0,"",MIN(H16,K16,N16,Q16))</f>
        <v/>
      </c>
      <c r="T16" s="11" t="str">
        <f aca="false">IF(COUNT(H16,K16,N16,Q16)=0,"",MAX(H16,K16,N16,Q16))</f>
        <v/>
      </c>
      <c r="U16" s="12" t="n">
        <f aca="false">COUNT(H16,K16,N16,Q16)</f>
        <v>0</v>
      </c>
    </row>
    <row r="17" customFormat="false" ht="15" hidden="false" customHeight="false" outlineLevel="0" collapsed="false">
      <c r="A17" s="6" t="n">
        <v>12</v>
      </c>
      <c r="B17" s="7" t="s">
        <v>38</v>
      </c>
      <c r="C17" s="6" t="s">
        <v>25</v>
      </c>
      <c r="D17" s="6" t="n">
        <v>1000</v>
      </c>
      <c r="E17" s="6" t="s">
        <v>26</v>
      </c>
      <c r="F17" s="8"/>
      <c r="G17" s="9"/>
      <c r="H17" s="10" t="str">
        <f aca="false">IF(F17="","",F17*$D17/IF(G17="",$D17,G17))</f>
        <v/>
      </c>
      <c r="I17" s="8"/>
      <c r="J17" s="9"/>
      <c r="K17" s="10" t="str">
        <f aca="false">IF(I17="","",I17*$D17/IF(J17="",$D17,J17))</f>
        <v/>
      </c>
      <c r="L17" s="8"/>
      <c r="M17" s="9"/>
      <c r="N17" s="10" t="str">
        <f aca="false">IF(L17="","",L17*$D17/IF(M17="",$D17,M17))</f>
        <v/>
      </c>
      <c r="O17" s="8"/>
      <c r="P17" s="9"/>
      <c r="Q17" s="10" t="str">
        <f aca="false">IF(O17="","",O17*$D17/IF(P17="",$D17,P17))</f>
        <v/>
      </c>
      <c r="R17" s="11" t="str">
        <f aca="false">IF(COUNT(H17,K17,N17,Q17)=0,"",AVERAGE(H17,K17,N17,Q17))</f>
        <v/>
      </c>
      <c r="S17" s="11" t="str">
        <f aca="false">IF(COUNT(H17,K17,N17,Q17)=0,"",MIN(H17,K17,N17,Q17))</f>
        <v/>
      </c>
      <c r="T17" s="11" t="str">
        <f aca="false">IF(COUNT(H17,K17,N17,Q17)=0,"",MAX(H17,K17,N17,Q17))</f>
        <v/>
      </c>
      <c r="U17" s="12" t="n">
        <f aca="false">COUNT(H17,K17,N17,Q17)</f>
        <v>0</v>
      </c>
    </row>
    <row r="18" customFormat="false" ht="15" hidden="false" customHeight="false" outlineLevel="0" collapsed="false">
      <c r="A18" s="6" t="n">
        <v>13</v>
      </c>
      <c r="B18" s="7" t="s">
        <v>39</v>
      </c>
      <c r="C18" s="6" t="s">
        <v>25</v>
      </c>
      <c r="D18" s="6" t="n">
        <v>1000</v>
      </c>
      <c r="E18" s="6" t="s">
        <v>26</v>
      </c>
      <c r="F18" s="8"/>
      <c r="G18" s="9"/>
      <c r="H18" s="10" t="str">
        <f aca="false">IF(F18="","",F18*$D18/IF(G18="",$D18,G18))</f>
        <v/>
      </c>
      <c r="I18" s="8"/>
      <c r="J18" s="9"/>
      <c r="K18" s="10" t="str">
        <f aca="false">IF(I18="","",I18*$D18/IF(J18="",$D18,J18))</f>
        <v/>
      </c>
      <c r="L18" s="8"/>
      <c r="M18" s="9"/>
      <c r="N18" s="10" t="str">
        <f aca="false">IF(L18="","",L18*$D18/IF(M18="",$D18,M18))</f>
        <v/>
      </c>
      <c r="O18" s="8"/>
      <c r="P18" s="9"/>
      <c r="Q18" s="10" t="str">
        <f aca="false">IF(O18="","",O18*$D18/IF(P18="",$D18,P18))</f>
        <v/>
      </c>
      <c r="R18" s="11" t="str">
        <f aca="false">IF(COUNT(H18,K18,N18,Q18)=0,"",AVERAGE(H18,K18,N18,Q18))</f>
        <v/>
      </c>
      <c r="S18" s="11" t="str">
        <f aca="false">IF(COUNT(H18,K18,N18,Q18)=0,"",MIN(H18,K18,N18,Q18))</f>
        <v/>
      </c>
      <c r="T18" s="11" t="str">
        <f aca="false">IF(COUNT(H18,K18,N18,Q18)=0,"",MAX(H18,K18,N18,Q18))</f>
        <v/>
      </c>
      <c r="U18" s="12" t="n">
        <f aca="false">COUNT(H18,K18,N18,Q18)</f>
        <v>0</v>
      </c>
    </row>
    <row r="19" customFormat="false" ht="15" hidden="false" customHeight="false" outlineLevel="0" collapsed="false">
      <c r="A19" s="6" t="n">
        <v>14</v>
      </c>
      <c r="B19" s="7" t="s">
        <v>40</v>
      </c>
      <c r="C19" s="6" t="s">
        <v>25</v>
      </c>
      <c r="D19" s="6" t="n">
        <v>1000</v>
      </c>
      <c r="E19" s="6" t="s">
        <v>26</v>
      </c>
      <c r="F19" s="8"/>
      <c r="G19" s="9"/>
      <c r="H19" s="10" t="str">
        <f aca="false">IF(F19="","",F19*$D19/IF(G19="",$D19,G19))</f>
        <v/>
      </c>
      <c r="I19" s="8"/>
      <c r="J19" s="9"/>
      <c r="K19" s="10" t="str">
        <f aca="false">IF(I19="","",I19*$D19/IF(J19="",$D19,J19))</f>
        <v/>
      </c>
      <c r="L19" s="8"/>
      <c r="M19" s="9"/>
      <c r="N19" s="10" t="str">
        <f aca="false">IF(L19="","",L19*$D19/IF(M19="",$D19,M19))</f>
        <v/>
      </c>
      <c r="O19" s="8"/>
      <c r="P19" s="9"/>
      <c r="Q19" s="10" t="str">
        <f aca="false">IF(O19="","",O19*$D19/IF(P19="",$D19,P19))</f>
        <v/>
      </c>
      <c r="R19" s="11" t="str">
        <f aca="false">IF(COUNT(H19,K19,N19,Q19)=0,"",AVERAGE(H19,K19,N19,Q19))</f>
        <v/>
      </c>
      <c r="S19" s="11" t="str">
        <f aca="false">IF(COUNT(H19,K19,N19,Q19)=0,"",MIN(H19,K19,N19,Q19))</f>
        <v/>
      </c>
      <c r="T19" s="11" t="str">
        <f aca="false">IF(COUNT(H19,K19,N19,Q19)=0,"",MAX(H19,K19,N19,Q19))</f>
        <v/>
      </c>
      <c r="U19" s="12" t="n">
        <f aca="false">COUNT(H19,K19,N19,Q19)</f>
        <v>0</v>
      </c>
    </row>
    <row r="20" customFormat="false" ht="15" hidden="false" customHeight="false" outlineLevel="0" collapsed="false">
      <c r="A20" s="6" t="n">
        <v>15</v>
      </c>
      <c r="B20" s="7" t="s">
        <v>41</v>
      </c>
      <c r="C20" s="6" t="s">
        <v>25</v>
      </c>
      <c r="D20" s="6" t="n">
        <v>1000</v>
      </c>
      <c r="E20" s="6" t="s">
        <v>26</v>
      </c>
      <c r="F20" s="8"/>
      <c r="G20" s="9"/>
      <c r="H20" s="10" t="str">
        <f aca="false">IF(F20="","",F20*$D20/IF(G20="",$D20,G20))</f>
        <v/>
      </c>
      <c r="I20" s="8"/>
      <c r="J20" s="9"/>
      <c r="K20" s="10" t="str">
        <f aca="false">IF(I20="","",I20*$D20/IF(J20="",$D20,J20))</f>
        <v/>
      </c>
      <c r="L20" s="8"/>
      <c r="M20" s="9"/>
      <c r="N20" s="10" t="str">
        <f aca="false">IF(L20="","",L20*$D20/IF(M20="",$D20,M20))</f>
        <v/>
      </c>
      <c r="O20" s="8"/>
      <c r="P20" s="9"/>
      <c r="Q20" s="10" t="str">
        <f aca="false">IF(O20="","",O20*$D20/IF(P20="",$D20,P20))</f>
        <v/>
      </c>
      <c r="R20" s="11" t="str">
        <f aca="false">IF(COUNT(H20,K20,N20,Q20)=0,"",AVERAGE(H20,K20,N20,Q20))</f>
        <v/>
      </c>
      <c r="S20" s="11" t="str">
        <f aca="false">IF(COUNT(H20,K20,N20,Q20)=0,"",MIN(H20,K20,N20,Q20))</f>
        <v/>
      </c>
      <c r="T20" s="11" t="str">
        <f aca="false">IF(COUNT(H20,K20,N20,Q20)=0,"",MAX(H20,K20,N20,Q20))</f>
        <v/>
      </c>
      <c r="U20" s="12" t="n">
        <f aca="false">COUNT(H20,K20,N20,Q20)</f>
        <v>0</v>
      </c>
    </row>
    <row r="21" customFormat="false" ht="15" hidden="false" customHeight="false" outlineLevel="0" collapsed="false">
      <c r="A21" s="6" t="n">
        <v>16</v>
      </c>
      <c r="B21" s="7" t="s">
        <v>42</v>
      </c>
      <c r="C21" s="6" t="s">
        <v>25</v>
      </c>
      <c r="D21" s="6" t="n">
        <v>1000</v>
      </c>
      <c r="E21" s="6" t="s">
        <v>26</v>
      </c>
      <c r="F21" s="8"/>
      <c r="G21" s="9"/>
      <c r="H21" s="10" t="str">
        <f aca="false">IF(F21="","",F21*$D21/IF(G21="",$D21,G21))</f>
        <v/>
      </c>
      <c r="I21" s="8"/>
      <c r="J21" s="9"/>
      <c r="K21" s="10" t="str">
        <f aca="false">IF(I21="","",I21*$D21/IF(J21="",$D21,J21))</f>
        <v/>
      </c>
      <c r="L21" s="8"/>
      <c r="M21" s="9"/>
      <c r="N21" s="10" t="str">
        <f aca="false">IF(L21="","",L21*$D21/IF(M21="",$D21,M21))</f>
        <v/>
      </c>
      <c r="O21" s="8"/>
      <c r="P21" s="9"/>
      <c r="Q21" s="10" t="str">
        <f aca="false">IF(O21="","",O21*$D21/IF(P21="",$D21,P21))</f>
        <v/>
      </c>
      <c r="R21" s="11" t="str">
        <f aca="false">IF(COUNT(H21,K21,N21,Q21)=0,"",AVERAGE(H21,K21,N21,Q21))</f>
        <v/>
      </c>
      <c r="S21" s="11" t="str">
        <f aca="false">IF(COUNT(H21,K21,N21,Q21)=0,"",MIN(H21,K21,N21,Q21))</f>
        <v/>
      </c>
      <c r="T21" s="11" t="str">
        <f aca="false">IF(COUNT(H21,K21,N21,Q21)=0,"",MAX(H21,K21,N21,Q21))</f>
        <v/>
      </c>
      <c r="U21" s="12" t="n">
        <f aca="false">COUNT(H21,K21,N21,Q21)</f>
        <v>0</v>
      </c>
    </row>
    <row r="22" customFormat="false" ht="15" hidden="false" customHeight="false" outlineLevel="0" collapsed="false">
      <c r="A22" s="6" t="n">
        <v>17</v>
      </c>
      <c r="B22" s="7" t="s">
        <v>43</v>
      </c>
      <c r="C22" s="6" t="s">
        <v>25</v>
      </c>
      <c r="D22" s="6" t="n">
        <v>1000</v>
      </c>
      <c r="E22" s="6" t="s">
        <v>26</v>
      </c>
      <c r="F22" s="8"/>
      <c r="G22" s="9"/>
      <c r="H22" s="10" t="str">
        <f aca="false">IF(F22="","",F22*$D22/IF(G22="",$D22,G22))</f>
        <v/>
      </c>
      <c r="I22" s="8"/>
      <c r="J22" s="9"/>
      <c r="K22" s="10" t="str">
        <f aca="false">IF(I22="","",I22*$D22/IF(J22="",$D22,J22))</f>
        <v/>
      </c>
      <c r="L22" s="8"/>
      <c r="M22" s="9"/>
      <c r="N22" s="10" t="str">
        <f aca="false">IF(L22="","",L22*$D22/IF(M22="",$D22,M22))</f>
        <v/>
      </c>
      <c r="O22" s="8"/>
      <c r="P22" s="9"/>
      <c r="Q22" s="10" t="str">
        <f aca="false">IF(O22="","",O22*$D22/IF(P22="",$D22,P22))</f>
        <v/>
      </c>
      <c r="R22" s="11" t="str">
        <f aca="false">IF(COUNT(H22,K22,N22,Q22)=0,"",AVERAGE(H22,K22,N22,Q22))</f>
        <v/>
      </c>
      <c r="S22" s="11" t="str">
        <f aca="false">IF(COUNT(H22,K22,N22,Q22)=0,"",MIN(H22,K22,N22,Q22))</f>
        <v/>
      </c>
      <c r="T22" s="11" t="str">
        <f aca="false">IF(COUNT(H22,K22,N22,Q22)=0,"",MAX(H22,K22,N22,Q22))</f>
        <v/>
      </c>
      <c r="U22" s="12" t="n">
        <f aca="false">COUNT(H22,K22,N22,Q22)</f>
        <v>0</v>
      </c>
    </row>
    <row r="23" customFormat="false" ht="15" hidden="false" customHeight="false" outlineLevel="0" collapsed="false">
      <c r="A23" s="6" t="n">
        <v>18</v>
      </c>
      <c r="B23" s="7" t="s">
        <v>44</v>
      </c>
      <c r="C23" s="6" t="s">
        <v>25</v>
      </c>
      <c r="D23" s="6" t="n">
        <v>1000</v>
      </c>
      <c r="E23" s="6" t="s">
        <v>26</v>
      </c>
      <c r="F23" s="8"/>
      <c r="G23" s="9"/>
      <c r="H23" s="10" t="str">
        <f aca="false">IF(F23="","",F23*$D23/IF(G23="",$D23,G23))</f>
        <v/>
      </c>
      <c r="I23" s="8"/>
      <c r="J23" s="9"/>
      <c r="K23" s="10" t="str">
        <f aca="false">IF(I23="","",I23*$D23/IF(J23="",$D23,J23))</f>
        <v/>
      </c>
      <c r="L23" s="8"/>
      <c r="M23" s="9"/>
      <c r="N23" s="10" t="str">
        <f aca="false">IF(L23="","",L23*$D23/IF(M23="",$D23,M23))</f>
        <v/>
      </c>
      <c r="O23" s="8"/>
      <c r="P23" s="9"/>
      <c r="Q23" s="10" t="str">
        <f aca="false">IF(O23="","",O23*$D23/IF(P23="",$D23,P23))</f>
        <v/>
      </c>
      <c r="R23" s="11" t="str">
        <f aca="false">IF(COUNT(H23,K23,N23,Q23)=0,"",AVERAGE(H23,K23,N23,Q23))</f>
        <v/>
      </c>
      <c r="S23" s="11" t="str">
        <f aca="false">IF(COUNT(H23,K23,N23,Q23)=0,"",MIN(H23,K23,N23,Q23))</f>
        <v/>
      </c>
      <c r="T23" s="11" t="str">
        <f aca="false">IF(COUNT(H23,K23,N23,Q23)=0,"",MAX(H23,K23,N23,Q23))</f>
        <v/>
      </c>
      <c r="U23" s="12" t="n">
        <f aca="false">COUNT(H23,K23,N23,Q23)</f>
        <v>0</v>
      </c>
    </row>
    <row r="24" customFormat="false" ht="15" hidden="false" customHeight="false" outlineLevel="0" collapsed="false">
      <c r="A24" s="6" t="n">
        <v>19</v>
      </c>
      <c r="B24" s="7" t="s">
        <v>45</v>
      </c>
      <c r="C24" s="6" t="s">
        <v>25</v>
      </c>
      <c r="D24" s="6" t="n">
        <v>1000</v>
      </c>
      <c r="E24" s="6" t="s">
        <v>26</v>
      </c>
      <c r="F24" s="8"/>
      <c r="G24" s="9"/>
      <c r="H24" s="10" t="str">
        <f aca="false">IF(F24="","",F24*$D24/IF(G24="",$D24,G24))</f>
        <v/>
      </c>
      <c r="I24" s="8"/>
      <c r="J24" s="9"/>
      <c r="K24" s="10" t="str">
        <f aca="false">IF(I24="","",I24*$D24/IF(J24="",$D24,J24))</f>
        <v/>
      </c>
      <c r="L24" s="8"/>
      <c r="M24" s="9"/>
      <c r="N24" s="10" t="str">
        <f aca="false">IF(L24="","",L24*$D24/IF(M24="",$D24,M24))</f>
        <v/>
      </c>
      <c r="O24" s="8"/>
      <c r="P24" s="9"/>
      <c r="Q24" s="10" t="str">
        <f aca="false">IF(O24="","",O24*$D24/IF(P24="",$D24,P24))</f>
        <v/>
      </c>
      <c r="R24" s="11" t="str">
        <f aca="false">IF(COUNT(H24,K24,N24,Q24)=0,"",AVERAGE(H24,K24,N24,Q24))</f>
        <v/>
      </c>
      <c r="S24" s="11" t="str">
        <f aca="false">IF(COUNT(H24,K24,N24,Q24)=0,"",MIN(H24,K24,N24,Q24))</f>
        <v/>
      </c>
      <c r="T24" s="11" t="str">
        <f aca="false">IF(COUNT(H24,K24,N24,Q24)=0,"",MAX(H24,K24,N24,Q24))</f>
        <v/>
      </c>
      <c r="U24" s="12" t="n">
        <f aca="false">COUNT(H24,K24,N24,Q24)</f>
        <v>0</v>
      </c>
    </row>
    <row r="25" customFormat="false" ht="15" hidden="false" customHeight="false" outlineLevel="0" collapsed="false">
      <c r="A25" s="6" t="n">
        <v>20</v>
      </c>
      <c r="B25" s="7" t="s">
        <v>46</v>
      </c>
      <c r="C25" s="6" t="s">
        <v>25</v>
      </c>
      <c r="D25" s="6" t="n">
        <v>1000</v>
      </c>
      <c r="E25" s="6" t="s">
        <v>26</v>
      </c>
      <c r="F25" s="8"/>
      <c r="G25" s="9"/>
      <c r="H25" s="10" t="str">
        <f aca="false">IF(F25="","",F25*$D25/IF(G25="",$D25,G25))</f>
        <v/>
      </c>
      <c r="I25" s="8"/>
      <c r="J25" s="9"/>
      <c r="K25" s="10" t="str">
        <f aca="false">IF(I25="","",I25*$D25/IF(J25="",$D25,J25))</f>
        <v/>
      </c>
      <c r="L25" s="8"/>
      <c r="M25" s="9"/>
      <c r="N25" s="10" t="str">
        <f aca="false">IF(L25="","",L25*$D25/IF(M25="",$D25,M25))</f>
        <v/>
      </c>
      <c r="O25" s="8"/>
      <c r="P25" s="9"/>
      <c r="Q25" s="10" t="str">
        <f aca="false">IF(O25="","",O25*$D25/IF(P25="",$D25,P25))</f>
        <v/>
      </c>
      <c r="R25" s="11" t="str">
        <f aca="false">IF(COUNT(H25,K25,N25,Q25)=0,"",AVERAGE(H25,K25,N25,Q25))</f>
        <v/>
      </c>
      <c r="S25" s="11" t="str">
        <f aca="false">IF(COUNT(H25,K25,N25,Q25)=0,"",MIN(H25,K25,N25,Q25))</f>
        <v/>
      </c>
      <c r="T25" s="11" t="str">
        <f aca="false">IF(COUNT(H25,K25,N25,Q25)=0,"",MAX(H25,K25,N25,Q25))</f>
        <v/>
      </c>
      <c r="U25" s="12" t="n">
        <f aca="false">COUNT(H25,K25,N25,Q25)</f>
        <v>0</v>
      </c>
    </row>
    <row r="26" customFormat="false" ht="15" hidden="false" customHeight="false" outlineLevel="0" collapsed="false">
      <c r="A26" s="6" t="n">
        <v>21</v>
      </c>
      <c r="B26" s="7" t="s">
        <v>47</v>
      </c>
      <c r="C26" s="6" t="s">
        <v>48</v>
      </c>
      <c r="D26" s="6" t="n">
        <v>100</v>
      </c>
      <c r="E26" s="6" t="s">
        <v>29</v>
      </c>
      <c r="F26" s="8"/>
      <c r="G26" s="9"/>
      <c r="H26" s="10" t="str">
        <f aca="false">IF(F26="","",F26*$D26/IF(G26="",$D26,G26))</f>
        <v/>
      </c>
      <c r="I26" s="8"/>
      <c r="J26" s="9"/>
      <c r="K26" s="10" t="str">
        <f aca="false">IF(I26="","",I26*$D26/IF(J26="",$D26,J26))</f>
        <v/>
      </c>
      <c r="L26" s="8"/>
      <c r="M26" s="9"/>
      <c r="N26" s="10" t="str">
        <f aca="false">IF(L26="","",L26*$D26/IF(M26="",$D26,M26))</f>
        <v/>
      </c>
      <c r="O26" s="8"/>
      <c r="P26" s="9"/>
      <c r="Q26" s="10" t="str">
        <f aca="false">IF(O26="","",O26*$D26/IF(P26="",$D26,P26))</f>
        <v/>
      </c>
      <c r="R26" s="11" t="str">
        <f aca="false">IF(COUNT(H26,K26,N26,Q26)=0,"",AVERAGE(H26,K26,N26,Q26))</f>
        <v/>
      </c>
      <c r="S26" s="11" t="str">
        <f aca="false">IF(COUNT(H26,K26,N26,Q26)=0,"",MIN(H26,K26,N26,Q26))</f>
        <v/>
      </c>
      <c r="T26" s="11" t="str">
        <f aca="false">IF(COUNT(H26,K26,N26,Q26)=0,"",MAX(H26,K26,N26,Q26))</f>
        <v/>
      </c>
      <c r="U26" s="12" t="n">
        <f aca="false">COUNT(H26,K26,N26,Q26)</f>
        <v>0</v>
      </c>
    </row>
    <row r="27" customFormat="false" ht="15" hidden="false" customHeight="false" outlineLevel="0" collapsed="false">
      <c r="A27" s="6" t="n">
        <v>22</v>
      </c>
      <c r="B27" s="7" t="s">
        <v>49</v>
      </c>
      <c r="C27" s="6" t="s">
        <v>32</v>
      </c>
      <c r="D27" s="6" t="n">
        <v>500</v>
      </c>
      <c r="E27" s="6" t="s">
        <v>29</v>
      </c>
      <c r="F27" s="8"/>
      <c r="G27" s="9"/>
      <c r="H27" s="10" t="str">
        <f aca="false">IF(F27="","",F27*$D27/IF(G27="",$D27,G27))</f>
        <v/>
      </c>
      <c r="I27" s="8"/>
      <c r="J27" s="9"/>
      <c r="K27" s="10" t="str">
        <f aca="false">IF(I27="","",I27*$D27/IF(J27="",$D27,J27))</f>
        <v/>
      </c>
      <c r="L27" s="8"/>
      <c r="M27" s="9"/>
      <c r="N27" s="10" t="str">
        <f aca="false">IF(L27="","",L27*$D27/IF(M27="",$D27,M27))</f>
        <v/>
      </c>
      <c r="O27" s="8"/>
      <c r="P27" s="9"/>
      <c r="Q27" s="10" t="str">
        <f aca="false">IF(O27="","",O27*$D27/IF(P27="",$D27,P27))</f>
        <v/>
      </c>
      <c r="R27" s="11" t="str">
        <f aca="false">IF(COUNT(H27,K27,N27,Q27)=0,"",AVERAGE(H27,K27,N27,Q27))</f>
        <v/>
      </c>
      <c r="S27" s="11" t="str">
        <f aca="false">IF(COUNT(H27,K27,N27,Q27)=0,"",MIN(H27,K27,N27,Q27))</f>
        <v/>
      </c>
      <c r="T27" s="11" t="str">
        <f aca="false">IF(COUNT(H27,K27,N27,Q27)=0,"",MAX(H27,K27,N27,Q27))</f>
        <v/>
      </c>
      <c r="U27" s="12" t="n">
        <f aca="false">COUNT(H27,K27,N27,Q27)</f>
        <v>0</v>
      </c>
    </row>
    <row r="28" customFormat="false" ht="15" hidden="false" customHeight="false" outlineLevel="0" collapsed="false">
      <c r="A28" s="6" t="n">
        <v>23</v>
      </c>
      <c r="B28" s="7" t="s">
        <v>50</v>
      </c>
      <c r="C28" s="6" t="s">
        <v>51</v>
      </c>
      <c r="D28" s="6" t="n">
        <v>75</v>
      </c>
      <c r="E28" s="6" t="s">
        <v>21</v>
      </c>
      <c r="F28" s="8"/>
      <c r="G28" s="9"/>
      <c r="H28" s="10" t="str">
        <f aca="false">IF(F28="","",F28*$D28/IF(G28="",$D28,G28))</f>
        <v/>
      </c>
      <c r="I28" s="8"/>
      <c r="J28" s="9"/>
      <c r="K28" s="10" t="str">
        <f aca="false">IF(I28="","",I28*$D28/IF(J28="",$D28,J28))</f>
        <v/>
      </c>
      <c r="L28" s="8"/>
      <c r="M28" s="9"/>
      <c r="N28" s="10" t="str">
        <f aca="false">IF(L28="","",L28*$D28/IF(M28="",$D28,M28))</f>
        <v/>
      </c>
      <c r="O28" s="8"/>
      <c r="P28" s="9"/>
      <c r="Q28" s="10" t="str">
        <f aca="false">IF(O28="","",O28*$D28/IF(P28="",$D28,P28))</f>
        <v/>
      </c>
      <c r="R28" s="11" t="str">
        <f aca="false">IF(COUNT(H28,K28,N28,Q28)=0,"",AVERAGE(H28,K28,N28,Q28))</f>
        <v/>
      </c>
      <c r="S28" s="11" t="str">
        <f aca="false">IF(COUNT(H28,K28,N28,Q28)=0,"",MIN(H28,K28,N28,Q28))</f>
        <v/>
      </c>
      <c r="T28" s="11" t="str">
        <f aca="false">IF(COUNT(H28,K28,N28,Q28)=0,"",MAX(H28,K28,N28,Q28))</f>
        <v/>
      </c>
      <c r="U28" s="12" t="n">
        <f aca="false">COUNT(H28,K28,N28,Q28)</f>
        <v>0</v>
      </c>
    </row>
    <row r="29" customFormat="false" ht="15" hidden="false" customHeight="false" outlineLevel="0" collapsed="false">
      <c r="A29" s="6" t="n">
        <v>24</v>
      </c>
      <c r="B29" s="7" t="s">
        <v>52</v>
      </c>
      <c r="C29" s="6" t="s">
        <v>53</v>
      </c>
      <c r="D29" s="6" t="n">
        <v>90</v>
      </c>
      <c r="E29" s="6" t="s">
        <v>26</v>
      </c>
      <c r="F29" s="8"/>
      <c r="G29" s="9"/>
      <c r="H29" s="10" t="str">
        <f aca="false">IF(F29="","",F29*$D29/IF(G29="",$D29,G29))</f>
        <v/>
      </c>
      <c r="I29" s="8"/>
      <c r="J29" s="9"/>
      <c r="K29" s="10" t="str">
        <f aca="false">IF(I29="","",I29*$D29/IF(J29="",$D29,J29))</f>
        <v/>
      </c>
      <c r="L29" s="8"/>
      <c r="M29" s="9"/>
      <c r="N29" s="10" t="str">
        <f aca="false">IF(L29="","",L29*$D29/IF(M29="",$D29,M29))</f>
        <v/>
      </c>
      <c r="O29" s="8"/>
      <c r="P29" s="9"/>
      <c r="Q29" s="10" t="str">
        <f aca="false">IF(O29="","",O29*$D29/IF(P29="",$D29,P29))</f>
        <v/>
      </c>
      <c r="R29" s="11" t="str">
        <f aca="false">IF(COUNT(H29,K29,N29,Q29)=0,"",AVERAGE(H29,K29,N29,Q29))</f>
        <v/>
      </c>
      <c r="S29" s="11" t="str">
        <f aca="false">IF(COUNT(H29,K29,N29,Q29)=0,"",MIN(H29,K29,N29,Q29))</f>
        <v/>
      </c>
      <c r="T29" s="11" t="str">
        <f aca="false">IF(COUNT(H29,K29,N29,Q29)=0,"",MAX(H29,K29,N29,Q29))</f>
        <v/>
      </c>
      <c r="U29" s="12" t="n">
        <f aca="false">COUNT(H29,K29,N29,Q29)</f>
        <v>0</v>
      </c>
    </row>
    <row r="30" customFormat="false" ht="15" hidden="false" customHeight="false" outlineLevel="0" collapsed="false">
      <c r="A30" s="6" t="n">
        <v>25</v>
      </c>
      <c r="B30" s="7" t="s">
        <v>54</v>
      </c>
      <c r="C30" s="6" t="s">
        <v>55</v>
      </c>
      <c r="D30" s="6" t="n">
        <v>750</v>
      </c>
      <c r="E30" s="6" t="s">
        <v>29</v>
      </c>
      <c r="F30" s="8"/>
      <c r="G30" s="9"/>
      <c r="H30" s="10" t="str">
        <f aca="false">IF(F30="","",F30*$D30/IF(G30="",$D30,G30))</f>
        <v/>
      </c>
      <c r="I30" s="8"/>
      <c r="J30" s="9"/>
      <c r="K30" s="10" t="str">
        <f aca="false">IF(I30="","",I30*$D30/IF(J30="",$D30,J30))</f>
        <v/>
      </c>
      <c r="L30" s="8"/>
      <c r="M30" s="9"/>
      <c r="N30" s="10" t="str">
        <f aca="false">IF(L30="","",L30*$D30/IF(M30="",$D30,M30))</f>
        <v/>
      </c>
      <c r="O30" s="8"/>
      <c r="P30" s="9"/>
      <c r="Q30" s="10" t="str">
        <f aca="false">IF(O30="","",O30*$D30/IF(P30="",$D30,P30))</f>
        <v/>
      </c>
      <c r="R30" s="11" t="str">
        <f aca="false">IF(COUNT(H30,K30,N30,Q30)=0,"",AVERAGE(H30,K30,N30,Q30))</f>
        <v/>
      </c>
      <c r="S30" s="11" t="str">
        <f aca="false">IF(COUNT(H30,K30,N30,Q30)=0,"",MIN(H30,K30,N30,Q30))</f>
        <v/>
      </c>
      <c r="T30" s="11" t="str">
        <f aca="false">IF(COUNT(H30,K30,N30,Q30)=0,"",MAX(H30,K30,N30,Q30))</f>
        <v/>
      </c>
      <c r="U30" s="12" t="n">
        <f aca="false">COUNT(H30,K30,N30,Q30)</f>
        <v>0</v>
      </c>
    </row>
    <row r="31" customFormat="false" ht="15" hidden="false" customHeight="false" outlineLevel="0" collapsed="false">
      <c r="A31" s="6" t="n">
        <v>26</v>
      </c>
      <c r="B31" s="7" t="s">
        <v>56</v>
      </c>
      <c r="C31" s="6" t="s">
        <v>57</v>
      </c>
      <c r="D31" s="6" t="n">
        <v>90</v>
      </c>
      <c r="E31" s="6" t="s">
        <v>29</v>
      </c>
      <c r="F31" s="8"/>
      <c r="G31" s="9"/>
      <c r="H31" s="10" t="str">
        <f aca="false">IF(F31="","",F31*$D31/IF(G31="",$D31,G31))</f>
        <v/>
      </c>
      <c r="I31" s="8"/>
      <c r="J31" s="9"/>
      <c r="K31" s="10" t="str">
        <f aca="false">IF(I31="","",I31*$D31/IF(J31="",$D31,J31))</f>
        <v/>
      </c>
      <c r="L31" s="8"/>
      <c r="M31" s="9"/>
      <c r="N31" s="10" t="str">
        <f aca="false">IF(L31="","",L31*$D31/IF(M31="",$D31,M31))</f>
        <v/>
      </c>
      <c r="O31" s="8"/>
      <c r="P31" s="9"/>
      <c r="Q31" s="10" t="str">
        <f aca="false">IF(O31="","",O31*$D31/IF(P31="",$D31,P31))</f>
        <v/>
      </c>
      <c r="R31" s="11" t="str">
        <f aca="false">IF(COUNT(H31,K31,N31,Q31)=0,"",AVERAGE(H31,K31,N31,Q31))</f>
        <v/>
      </c>
      <c r="S31" s="11" t="str">
        <f aca="false">IF(COUNT(H31,K31,N31,Q31)=0,"",MIN(H31,K31,N31,Q31))</f>
        <v/>
      </c>
      <c r="T31" s="11" t="str">
        <f aca="false">IF(COUNT(H31,K31,N31,Q31)=0,"",MAX(H31,K31,N31,Q31))</f>
        <v/>
      </c>
      <c r="U31" s="12" t="n">
        <f aca="false">COUNT(H31,K31,N31,Q31)</f>
        <v>0</v>
      </c>
    </row>
    <row r="32" customFormat="false" ht="15" hidden="false" customHeight="false" outlineLevel="0" collapsed="false">
      <c r="A32" s="6" t="n">
        <v>27</v>
      </c>
      <c r="B32" s="7" t="s">
        <v>58</v>
      </c>
      <c r="C32" s="6" t="s">
        <v>32</v>
      </c>
      <c r="D32" s="6" t="n">
        <v>500</v>
      </c>
      <c r="E32" s="6" t="s">
        <v>29</v>
      </c>
      <c r="F32" s="8"/>
      <c r="G32" s="9"/>
      <c r="H32" s="10" t="str">
        <f aca="false">IF(F32="","",F32*$D32/IF(G32="",$D32,G32))</f>
        <v/>
      </c>
      <c r="I32" s="8"/>
      <c r="J32" s="9"/>
      <c r="K32" s="10" t="str">
        <f aca="false">IF(I32="","",I32*$D32/IF(J32="",$D32,J32))</f>
        <v/>
      </c>
      <c r="L32" s="8"/>
      <c r="M32" s="9"/>
      <c r="N32" s="10" t="str">
        <f aca="false">IF(L32="","",L32*$D32/IF(M32="",$D32,M32))</f>
        <v/>
      </c>
      <c r="O32" s="8"/>
      <c r="P32" s="9"/>
      <c r="Q32" s="10" t="str">
        <f aca="false">IF(O32="","",O32*$D32/IF(P32="",$D32,P32))</f>
        <v/>
      </c>
      <c r="R32" s="11" t="str">
        <f aca="false">IF(COUNT(H32,K32,N32,Q32)=0,"",AVERAGE(H32,K32,N32,Q32))</f>
        <v/>
      </c>
      <c r="S32" s="11" t="str">
        <f aca="false">IF(COUNT(H32,K32,N32,Q32)=0,"",MIN(H32,K32,N32,Q32))</f>
        <v/>
      </c>
      <c r="T32" s="11" t="str">
        <f aca="false">IF(COUNT(H32,K32,N32,Q32)=0,"",MAX(H32,K32,N32,Q32))</f>
        <v/>
      </c>
      <c r="U32" s="12" t="n">
        <f aca="false">COUNT(H32,K32,N32,Q32)</f>
        <v>0</v>
      </c>
    </row>
    <row r="33" customFormat="false" ht="15" hidden="false" customHeight="false" outlineLevel="0" collapsed="false">
      <c r="A33" s="6" t="n">
        <v>28</v>
      </c>
      <c r="B33" s="7" t="s">
        <v>59</v>
      </c>
      <c r="C33" s="6" t="s">
        <v>25</v>
      </c>
      <c r="D33" s="6" t="n">
        <v>1000</v>
      </c>
      <c r="E33" s="6" t="s">
        <v>26</v>
      </c>
      <c r="F33" s="8"/>
      <c r="G33" s="9"/>
      <c r="H33" s="10" t="str">
        <f aca="false">IF(F33="","",F33*$D33/IF(G33="",$D33,G33))</f>
        <v/>
      </c>
      <c r="I33" s="8"/>
      <c r="J33" s="9"/>
      <c r="K33" s="10" t="str">
        <f aca="false">IF(I33="","",I33*$D33/IF(J33="",$D33,J33))</f>
        <v/>
      </c>
      <c r="L33" s="8"/>
      <c r="M33" s="9"/>
      <c r="N33" s="10" t="str">
        <f aca="false">IF(L33="","",L33*$D33/IF(M33="",$D33,M33))</f>
        <v/>
      </c>
      <c r="O33" s="8"/>
      <c r="P33" s="9"/>
      <c r="Q33" s="10" t="str">
        <f aca="false">IF(O33="","",O33*$D33/IF(P33="",$D33,P33))</f>
        <v/>
      </c>
      <c r="R33" s="11" t="str">
        <f aca="false">IF(COUNT(H33,K33,N33,Q33)=0,"",AVERAGE(H33,K33,N33,Q33))</f>
        <v/>
      </c>
      <c r="S33" s="11" t="str">
        <f aca="false">IF(COUNT(H33,K33,N33,Q33)=0,"",MIN(H33,K33,N33,Q33))</f>
        <v/>
      </c>
      <c r="T33" s="11" t="str">
        <f aca="false">IF(COUNT(H33,K33,N33,Q33)=0,"",MAX(H33,K33,N33,Q33))</f>
        <v/>
      </c>
      <c r="U33" s="12" t="n">
        <f aca="false">COUNT(H33,K33,N33,Q33)</f>
        <v>0</v>
      </c>
    </row>
    <row r="34" customFormat="false" ht="15" hidden="false" customHeight="false" outlineLevel="0" collapsed="false">
      <c r="A34" s="6" t="n">
        <v>29</v>
      </c>
      <c r="B34" s="7" t="s">
        <v>60</v>
      </c>
      <c r="C34" s="6" t="s">
        <v>25</v>
      </c>
      <c r="D34" s="6" t="n">
        <v>1000</v>
      </c>
      <c r="E34" s="6" t="s">
        <v>26</v>
      </c>
      <c r="F34" s="8"/>
      <c r="G34" s="9"/>
      <c r="H34" s="10" t="str">
        <f aca="false">IF(F34="","",F34*$D34/IF(G34="",$D34,G34))</f>
        <v/>
      </c>
      <c r="I34" s="8"/>
      <c r="J34" s="9"/>
      <c r="K34" s="10" t="str">
        <f aca="false">IF(I34="","",I34*$D34/IF(J34="",$D34,J34))</f>
        <v/>
      </c>
      <c r="L34" s="8"/>
      <c r="M34" s="9"/>
      <c r="N34" s="10" t="str">
        <f aca="false">IF(L34="","",L34*$D34/IF(M34="",$D34,M34))</f>
        <v/>
      </c>
      <c r="O34" s="8"/>
      <c r="P34" s="9"/>
      <c r="Q34" s="10" t="str">
        <f aca="false">IF(O34="","",O34*$D34/IF(P34="",$D34,P34))</f>
        <v/>
      </c>
      <c r="R34" s="11" t="str">
        <f aca="false">IF(COUNT(H34,K34,N34,Q34)=0,"",AVERAGE(H34,K34,N34,Q34))</f>
        <v/>
      </c>
      <c r="S34" s="11" t="str">
        <f aca="false">IF(COUNT(H34,K34,N34,Q34)=0,"",MIN(H34,K34,N34,Q34))</f>
        <v/>
      </c>
      <c r="T34" s="11" t="str">
        <f aca="false">IF(COUNT(H34,K34,N34,Q34)=0,"",MAX(H34,K34,N34,Q34))</f>
        <v/>
      </c>
      <c r="U34" s="12" t="n">
        <f aca="false">COUNT(H34,K34,N34,Q34)</f>
        <v>0</v>
      </c>
    </row>
    <row r="35" customFormat="false" ht="15" hidden="false" customHeight="false" outlineLevel="0" collapsed="false">
      <c r="A35" s="6" t="n">
        <v>30</v>
      </c>
      <c r="B35" s="7" t="s">
        <v>61</v>
      </c>
      <c r="C35" s="6" t="s">
        <v>25</v>
      </c>
      <c r="D35" s="6" t="n">
        <v>1000</v>
      </c>
      <c r="E35" s="6" t="s">
        <v>26</v>
      </c>
      <c r="F35" s="8"/>
      <c r="G35" s="9"/>
      <c r="H35" s="10" t="str">
        <f aca="false">IF(F35="","",F35*$D35/IF(G35="",$D35,G35))</f>
        <v/>
      </c>
      <c r="I35" s="8"/>
      <c r="J35" s="9"/>
      <c r="K35" s="10" t="str">
        <f aca="false">IF(I35="","",I35*$D35/IF(J35="",$D35,J35))</f>
        <v/>
      </c>
      <c r="L35" s="8"/>
      <c r="M35" s="9"/>
      <c r="N35" s="10" t="str">
        <f aca="false">IF(L35="","",L35*$D35/IF(M35="",$D35,M35))</f>
        <v/>
      </c>
      <c r="O35" s="8"/>
      <c r="P35" s="9"/>
      <c r="Q35" s="10" t="str">
        <f aca="false">IF(O35="","",O35*$D35/IF(P35="",$D35,P35))</f>
        <v/>
      </c>
      <c r="R35" s="11" t="str">
        <f aca="false">IF(COUNT(H35,K35,N35,Q35)=0,"",AVERAGE(H35,K35,N35,Q35))</f>
        <v/>
      </c>
      <c r="S35" s="11" t="str">
        <f aca="false">IF(COUNT(H35,K35,N35,Q35)=0,"",MIN(H35,K35,N35,Q35))</f>
        <v/>
      </c>
      <c r="T35" s="11" t="str">
        <f aca="false">IF(COUNT(H35,K35,N35,Q35)=0,"",MAX(H35,K35,N35,Q35))</f>
        <v/>
      </c>
      <c r="U35" s="12" t="n">
        <f aca="false">COUNT(H35,K35,N35,Q35)</f>
        <v>0</v>
      </c>
    </row>
    <row r="36" customFormat="false" ht="15" hidden="false" customHeight="false" outlineLevel="0" collapsed="false">
      <c r="A36" s="6" t="n">
        <v>31</v>
      </c>
      <c r="B36" s="7" t="s">
        <v>62</v>
      </c>
      <c r="C36" s="6" t="s">
        <v>25</v>
      </c>
      <c r="D36" s="6" t="n">
        <v>1000</v>
      </c>
      <c r="E36" s="6" t="s">
        <v>26</v>
      </c>
      <c r="F36" s="8"/>
      <c r="G36" s="9"/>
      <c r="H36" s="10" t="str">
        <f aca="false">IF(F36="","",F36*$D36/IF(G36="",$D36,G36))</f>
        <v/>
      </c>
      <c r="I36" s="8"/>
      <c r="J36" s="9"/>
      <c r="K36" s="10" t="str">
        <f aca="false">IF(I36="","",I36*$D36/IF(J36="",$D36,J36))</f>
        <v/>
      </c>
      <c r="L36" s="8"/>
      <c r="M36" s="9"/>
      <c r="N36" s="10" t="str">
        <f aca="false">IF(L36="","",L36*$D36/IF(M36="",$D36,M36))</f>
        <v/>
      </c>
      <c r="O36" s="8"/>
      <c r="P36" s="9"/>
      <c r="Q36" s="10" t="str">
        <f aca="false">IF(O36="","",O36*$D36/IF(P36="",$D36,P36))</f>
        <v/>
      </c>
      <c r="R36" s="11" t="str">
        <f aca="false">IF(COUNT(H36,K36,N36,Q36)=0,"",AVERAGE(H36,K36,N36,Q36))</f>
        <v/>
      </c>
      <c r="S36" s="11" t="str">
        <f aca="false">IF(COUNT(H36,K36,N36,Q36)=0,"",MIN(H36,K36,N36,Q36))</f>
        <v/>
      </c>
      <c r="T36" s="11" t="str">
        <f aca="false">IF(COUNT(H36,K36,N36,Q36)=0,"",MAX(H36,K36,N36,Q36))</f>
        <v/>
      </c>
      <c r="U36" s="12" t="n">
        <f aca="false">COUNT(H36,K36,N36,Q36)</f>
        <v>0</v>
      </c>
    </row>
    <row r="37" customFormat="false" ht="15" hidden="false" customHeight="false" outlineLevel="0" collapsed="false">
      <c r="A37" s="6" t="n">
        <v>32</v>
      </c>
      <c r="B37" s="7" t="s">
        <v>63</v>
      </c>
      <c r="C37" s="6" t="s">
        <v>25</v>
      </c>
      <c r="D37" s="6" t="n">
        <v>1000</v>
      </c>
      <c r="E37" s="6" t="s">
        <v>26</v>
      </c>
      <c r="F37" s="8"/>
      <c r="G37" s="9"/>
      <c r="H37" s="10" t="str">
        <f aca="false">IF(F37="","",F37*$D37/IF(G37="",$D37,G37))</f>
        <v/>
      </c>
      <c r="I37" s="8"/>
      <c r="J37" s="9"/>
      <c r="K37" s="10" t="str">
        <f aca="false">IF(I37="","",I37*$D37/IF(J37="",$D37,J37))</f>
        <v/>
      </c>
      <c r="L37" s="8"/>
      <c r="M37" s="9"/>
      <c r="N37" s="10" t="str">
        <f aca="false">IF(L37="","",L37*$D37/IF(M37="",$D37,M37))</f>
        <v/>
      </c>
      <c r="O37" s="8"/>
      <c r="P37" s="9"/>
      <c r="Q37" s="10" t="str">
        <f aca="false">IF(O37="","",O37*$D37/IF(P37="",$D37,P37))</f>
        <v/>
      </c>
      <c r="R37" s="11" t="str">
        <f aca="false">IF(COUNT(H37,K37,N37,Q37)=0,"",AVERAGE(H37,K37,N37,Q37))</f>
        <v/>
      </c>
      <c r="S37" s="11" t="str">
        <f aca="false">IF(COUNT(H37,K37,N37,Q37)=0,"",MIN(H37,K37,N37,Q37))</f>
        <v/>
      </c>
      <c r="T37" s="11" t="str">
        <f aca="false">IF(COUNT(H37,K37,N37,Q37)=0,"",MAX(H37,K37,N37,Q37))</f>
        <v/>
      </c>
      <c r="U37" s="12" t="n">
        <f aca="false">COUNT(H37,K37,N37,Q37)</f>
        <v>0</v>
      </c>
    </row>
    <row r="38" customFormat="false" ht="15" hidden="false" customHeight="false" outlineLevel="0" collapsed="false">
      <c r="A38" s="6" t="n">
        <v>33</v>
      </c>
      <c r="B38" s="7" t="s">
        <v>64</v>
      </c>
      <c r="C38" s="6" t="s">
        <v>25</v>
      </c>
      <c r="D38" s="6" t="n">
        <v>1000</v>
      </c>
      <c r="E38" s="6" t="s">
        <v>26</v>
      </c>
      <c r="F38" s="8"/>
      <c r="G38" s="9"/>
      <c r="H38" s="10" t="str">
        <f aca="false">IF(F38="","",F38*$D38/IF(G38="",$D38,G38))</f>
        <v/>
      </c>
      <c r="I38" s="8"/>
      <c r="J38" s="9"/>
      <c r="K38" s="10" t="str">
        <f aca="false">IF(I38="","",I38*$D38/IF(J38="",$D38,J38))</f>
        <v/>
      </c>
      <c r="L38" s="8"/>
      <c r="M38" s="9"/>
      <c r="N38" s="10" t="str">
        <f aca="false">IF(L38="","",L38*$D38/IF(M38="",$D38,M38))</f>
        <v/>
      </c>
      <c r="O38" s="8"/>
      <c r="P38" s="9"/>
      <c r="Q38" s="10" t="str">
        <f aca="false">IF(O38="","",O38*$D38/IF(P38="",$D38,P38))</f>
        <v/>
      </c>
      <c r="R38" s="11" t="str">
        <f aca="false">IF(COUNT(H38,K38,N38,Q38)=0,"",AVERAGE(H38,K38,N38,Q38))</f>
        <v/>
      </c>
      <c r="S38" s="11" t="str">
        <f aca="false">IF(COUNT(H38,K38,N38,Q38)=0,"",MIN(H38,K38,N38,Q38))</f>
        <v/>
      </c>
      <c r="T38" s="11" t="str">
        <f aca="false">IF(COUNT(H38,K38,N38,Q38)=0,"",MAX(H38,K38,N38,Q38))</f>
        <v/>
      </c>
      <c r="U38" s="12" t="n">
        <f aca="false">COUNT(H38,K38,N38,Q38)</f>
        <v>0</v>
      </c>
    </row>
    <row r="39" customFormat="false" ht="15" hidden="false" customHeight="false" outlineLevel="0" collapsed="false">
      <c r="A39" s="6" t="n">
        <v>34</v>
      </c>
      <c r="B39" s="7" t="s">
        <v>65</v>
      </c>
      <c r="C39" s="6" t="s">
        <v>25</v>
      </c>
      <c r="D39" s="6" t="n">
        <v>1000</v>
      </c>
      <c r="E39" s="6" t="s">
        <v>26</v>
      </c>
      <c r="F39" s="8"/>
      <c r="G39" s="9"/>
      <c r="H39" s="10" t="str">
        <f aca="false">IF(F39="","",F39*$D39/IF(G39="",$D39,G39))</f>
        <v/>
      </c>
      <c r="I39" s="8"/>
      <c r="J39" s="9"/>
      <c r="K39" s="10" t="str">
        <f aca="false">IF(I39="","",I39*$D39/IF(J39="",$D39,J39))</f>
        <v/>
      </c>
      <c r="L39" s="8"/>
      <c r="M39" s="9"/>
      <c r="N39" s="10" t="str">
        <f aca="false">IF(L39="","",L39*$D39/IF(M39="",$D39,M39))</f>
        <v/>
      </c>
      <c r="O39" s="8"/>
      <c r="P39" s="9"/>
      <c r="Q39" s="10" t="str">
        <f aca="false">IF(O39="","",O39*$D39/IF(P39="",$D39,P39))</f>
        <v/>
      </c>
      <c r="R39" s="11" t="str">
        <f aca="false">IF(COUNT(H39,K39,N39,Q39)=0,"",AVERAGE(H39,K39,N39,Q39))</f>
        <v/>
      </c>
      <c r="S39" s="11" t="str">
        <f aca="false">IF(COUNT(H39,K39,N39,Q39)=0,"",MIN(H39,K39,N39,Q39))</f>
        <v/>
      </c>
      <c r="T39" s="11" t="str">
        <f aca="false">IF(COUNT(H39,K39,N39,Q39)=0,"",MAX(H39,K39,N39,Q39))</f>
        <v/>
      </c>
      <c r="U39" s="12" t="n">
        <f aca="false">COUNT(H39,K39,N39,Q39)</f>
        <v>0</v>
      </c>
    </row>
    <row r="40" customFormat="false" ht="15" hidden="false" customHeight="false" outlineLevel="0" collapsed="false">
      <c r="A40" s="6" t="n">
        <v>35</v>
      </c>
      <c r="B40" s="7" t="s">
        <v>66</v>
      </c>
      <c r="C40" s="6" t="s">
        <v>25</v>
      </c>
      <c r="D40" s="6" t="n">
        <v>1000</v>
      </c>
      <c r="E40" s="6" t="s">
        <v>26</v>
      </c>
      <c r="F40" s="8"/>
      <c r="G40" s="9"/>
      <c r="H40" s="10" t="str">
        <f aca="false">IF(F40="","",F40*$D40/IF(G40="",$D40,G40))</f>
        <v/>
      </c>
      <c r="I40" s="8"/>
      <c r="J40" s="9"/>
      <c r="K40" s="10" t="str">
        <f aca="false">IF(I40="","",I40*$D40/IF(J40="",$D40,J40))</f>
        <v/>
      </c>
      <c r="L40" s="8"/>
      <c r="M40" s="9"/>
      <c r="N40" s="10" t="str">
        <f aca="false">IF(L40="","",L40*$D40/IF(M40="",$D40,M40))</f>
        <v/>
      </c>
      <c r="O40" s="8"/>
      <c r="P40" s="9"/>
      <c r="Q40" s="10" t="str">
        <f aca="false">IF(O40="","",O40*$D40/IF(P40="",$D40,P40))</f>
        <v/>
      </c>
      <c r="R40" s="11" t="str">
        <f aca="false">IF(COUNT(H40,K40,N40,Q40)=0,"",AVERAGE(H40,K40,N40,Q40))</f>
        <v/>
      </c>
      <c r="S40" s="11" t="str">
        <f aca="false">IF(COUNT(H40,K40,N40,Q40)=0,"",MIN(H40,K40,N40,Q40))</f>
        <v/>
      </c>
      <c r="T40" s="11" t="str">
        <f aca="false">IF(COUNT(H40,K40,N40,Q40)=0,"",MAX(H40,K40,N40,Q40))</f>
        <v/>
      </c>
      <c r="U40" s="12" t="n">
        <f aca="false">COUNT(H40,K40,N40,Q40)</f>
        <v>0</v>
      </c>
    </row>
    <row r="41" customFormat="false" ht="15" hidden="false" customHeight="false" outlineLevel="0" collapsed="false">
      <c r="A41" s="6" t="n">
        <v>36</v>
      </c>
      <c r="B41" s="7" t="s">
        <v>67</v>
      </c>
      <c r="C41" s="6" t="s">
        <v>25</v>
      </c>
      <c r="D41" s="6" t="n">
        <v>1000</v>
      </c>
      <c r="E41" s="6" t="s">
        <v>26</v>
      </c>
      <c r="F41" s="8"/>
      <c r="G41" s="9"/>
      <c r="H41" s="10" t="str">
        <f aca="false">IF(F41="","",F41*$D41/IF(G41="",$D41,G41))</f>
        <v/>
      </c>
      <c r="I41" s="8"/>
      <c r="J41" s="9"/>
      <c r="K41" s="10" t="str">
        <f aca="false">IF(I41="","",I41*$D41/IF(J41="",$D41,J41))</f>
        <v/>
      </c>
      <c r="L41" s="8"/>
      <c r="M41" s="9"/>
      <c r="N41" s="10" t="str">
        <f aca="false">IF(L41="","",L41*$D41/IF(M41="",$D41,M41))</f>
        <v/>
      </c>
      <c r="O41" s="8"/>
      <c r="P41" s="9"/>
      <c r="Q41" s="10" t="str">
        <f aca="false">IF(O41="","",O41*$D41/IF(P41="",$D41,P41))</f>
        <v/>
      </c>
      <c r="R41" s="11" t="str">
        <f aca="false">IF(COUNT(H41,K41,N41,Q41)=0,"",AVERAGE(H41,K41,N41,Q41))</f>
        <v/>
      </c>
      <c r="S41" s="11" t="str">
        <f aca="false">IF(COUNT(H41,K41,N41,Q41)=0,"",MIN(H41,K41,N41,Q41))</f>
        <v/>
      </c>
      <c r="T41" s="11" t="str">
        <f aca="false">IF(COUNT(H41,K41,N41,Q41)=0,"",MAX(H41,K41,N41,Q41))</f>
        <v/>
      </c>
      <c r="U41" s="12" t="n">
        <f aca="false">COUNT(H41,K41,N41,Q41)</f>
        <v>0</v>
      </c>
    </row>
    <row r="42" customFormat="false" ht="15" hidden="false" customHeight="false" outlineLevel="0" collapsed="false">
      <c r="A42" s="6" t="n">
        <v>37</v>
      </c>
      <c r="B42" s="7" t="s">
        <v>68</v>
      </c>
      <c r="C42" s="6" t="s">
        <v>25</v>
      </c>
      <c r="D42" s="6" t="n">
        <v>1000</v>
      </c>
      <c r="E42" s="6" t="s">
        <v>26</v>
      </c>
      <c r="F42" s="8"/>
      <c r="G42" s="9"/>
      <c r="H42" s="10" t="str">
        <f aca="false">IF(F42="","",F42*$D42/IF(G42="",$D42,G42))</f>
        <v/>
      </c>
      <c r="I42" s="8"/>
      <c r="J42" s="9"/>
      <c r="K42" s="10" t="str">
        <f aca="false">IF(I42="","",I42*$D42/IF(J42="",$D42,J42))</f>
        <v/>
      </c>
      <c r="L42" s="8"/>
      <c r="M42" s="9"/>
      <c r="N42" s="10" t="str">
        <f aca="false">IF(L42="","",L42*$D42/IF(M42="",$D42,M42))</f>
        <v/>
      </c>
      <c r="O42" s="8"/>
      <c r="P42" s="9"/>
      <c r="Q42" s="10" t="str">
        <f aca="false">IF(O42="","",O42*$D42/IF(P42="",$D42,P42))</f>
        <v/>
      </c>
      <c r="R42" s="11" t="str">
        <f aca="false">IF(COUNT(H42,K42,N42,Q42)=0,"",AVERAGE(H42,K42,N42,Q42))</f>
        <v/>
      </c>
      <c r="S42" s="11" t="str">
        <f aca="false">IF(COUNT(H42,K42,N42,Q42)=0,"",MIN(H42,K42,N42,Q42))</f>
        <v/>
      </c>
      <c r="T42" s="11" t="str">
        <f aca="false">IF(COUNT(H42,K42,N42,Q42)=0,"",MAX(H42,K42,N42,Q42))</f>
        <v/>
      </c>
      <c r="U42" s="12" t="n">
        <f aca="false">COUNT(H42,K42,N42,Q42)</f>
        <v>0</v>
      </c>
    </row>
    <row r="43" customFormat="false" ht="15" hidden="false" customHeight="false" outlineLevel="0" collapsed="false">
      <c r="A43" s="6" t="n">
        <v>38</v>
      </c>
      <c r="B43" s="7" t="s">
        <v>69</v>
      </c>
      <c r="C43" s="6" t="s">
        <v>28</v>
      </c>
      <c r="D43" s="6" t="n">
        <v>1000</v>
      </c>
      <c r="E43" s="6" t="s">
        <v>29</v>
      </c>
      <c r="F43" s="8"/>
      <c r="G43" s="9"/>
      <c r="H43" s="10" t="str">
        <f aca="false">IF(F43="","",F43*$D43/IF(G43="",$D43,G43))</f>
        <v/>
      </c>
      <c r="I43" s="8"/>
      <c r="J43" s="9"/>
      <c r="K43" s="10" t="str">
        <f aca="false">IF(I43="","",I43*$D43/IF(J43="",$D43,J43))</f>
        <v/>
      </c>
      <c r="L43" s="8"/>
      <c r="M43" s="9"/>
      <c r="N43" s="10" t="str">
        <f aca="false">IF(L43="","",L43*$D43/IF(M43="",$D43,M43))</f>
        <v/>
      </c>
      <c r="O43" s="8"/>
      <c r="P43" s="9"/>
      <c r="Q43" s="10" t="str">
        <f aca="false">IF(O43="","",O43*$D43/IF(P43="",$D43,P43))</f>
        <v/>
      </c>
      <c r="R43" s="11" t="str">
        <f aca="false">IF(COUNT(H43,K43,N43,Q43)=0,"",AVERAGE(H43,K43,N43,Q43))</f>
        <v/>
      </c>
      <c r="S43" s="11" t="str">
        <f aca="false">IF(COUNT(H43,K43,N43,Q43)=0,"",MIN(H43,K43,N43,Q43))</f>
        <v/>
      </c>
      <c r="T43" s="11" t="str">
        <f aca="false">IF(COUNT(H43,K43,N43,Q43)=0,"",MAX(H43,K43,N43,Q43))</f>
        <v/>
      </c>
      <c r="U43" s="12" t="n">
        <f aca="false">COUNT(H43,K43,N43,Q43)</f>
        <v>0</v>
      </c>
    </row>
    <row r="44" customFormat="false" ht="15" hidden="false" customHeight="false" outlineLevel="0" collapsed="false">
      <c r="A44" s="6" t="n">
        <v>39</v>
      </c>
      <c r="B44" s="7" t="s">
        <v>70</v>
      </c>
      <c r="C44" s="6" t="s">
        <v>28</v>
      </c>
      <c r="D44" s="6" t="n">
        <v>1000</v>
      </c>
      <c r="E44" s="6" t="s">
        <v>29</v>
      </c>
      <c r="F44" s="8"/>
      <c r="G44" s="9"/>
      <c r="H44" s="10" t="str">
        <f aca="false">IF(F44="","",F44*$D44/IF(G44="",$D44,G44))</f>
        <v/>
      </c>
      <c r="I44" s="8"/>
      <c r="J44" s="9"/>
      <c r="K44" s="10" t="str">
        <f aca="false">IF(I44="","",I44*$D44/IF(J44="",$D44,J44))</f>
        <v/>
      </c>
      <c r="L44" s="8"/>
      <c r="M44" s="9"/>
      <c r="N44" s="10" t="str">
        <f aca="false">IF(L44="","",L44*$D44/IF(M44="",$D44,M44))</f>
        <v/>
      </c>
      <c r="O44" s="8"/>
      <c r="P44" s="9"/>
      <c r="Q44" s="10" t="str">
        <f aca="false">IF(O44="","",O44*$D44/IF(P44="",$D44,P44))</f>
        <v/>
      </c>
      <c r="R44" s="11" t="str">
        <f aca="false">IF(COUNT(H44,K44,N44,Q44)=0,"",AVERAGE(H44,K44,N44,Q44))</f>
        <v/>
      </c>
      <c r="S44" s="11" t="str">
        <f aca="false">IF(COUNT(H44,K44,N44,Q44)=0,"",MIN(H44,K44,N44,Q44))</f>
        <v/>
      </c>
      <c r="T44" s="11" t="str">
        <f aca="false">IF(COUNT(H44,K44,N44,Q44)=0,"",MAX(H44,K44,N44,Q44))</f>
        <v/>
      </c>
      <c r="U44" s="12" t="n">
        <f aca="false">COUNT(H44,K44,N44,Q44)</f>
        <v>0</v>
      </c>
    </row>
    <row r="45" customFormat="false" ht="15" hidden="false" customHeight="false" outlineLevel="0" collapsed="false">
      <c r="A45" s="6" t="n">
        <v>40</v>
      </c>
      <c r="B45" s="7" t="s">
        <v>71</v>
      </c>
      <c r="C45" s="6" t="s">
        <v>25</v>
      </c>
      <c r="D45" s="6" t="n">
        <v>1000</v>
      </c>
      <c r="E45" s="6" t="s">
        <v>26</v>
      </c>
      <c r="F45" s="8"/>
      <c r="G45" s="9"/>
      <c r="H45" s="10" t="str">
        <f aca="false">IF(F45="","",F45*$D45/IF(G45="",$D45,G45))</f>
        <v/>
      </c>
      <c r="I45" s="8"/>
      <c r="J45" s="9"/>
      <c r="K45" s="10" t="str">
        <f aca="false">IF(I45="","",I45*$D45/IF(J45="",$D45,J45))</f>
        <v/>
      </c>
      <c r="L45" s="8"/>
      <c r="M45" s="9"/>
      <c r="N45" s="10" t="str">
        <f aca="false">IF(L45="","",L45*$D45/IF(M45="",$D45,M45))</f>
        <v/>
      </c>
      <c r="O45" s="8"/>
      <c r="P45" s="9"/>
      <c r="Q45" s="10" t="str">
        <f aca="false">IF(O45="","",O45*$D45/IF(P45="",$D45,P45))</f>
        <v/>
      </c>
      <c r="R45" s="11" t="str">
        <f aca="false">IF(COUNT(H45,K45,N45,Q45)=0,"",AVERAGE(H45,K45,N45,Q45))</f>
        <v/>
      </c>
      <c r="S45" s="11" t="str">
        <f aca="false">IF(COUNT(H45,K45,N45,Q45)=0,"",MIN(H45,K45,N45,Q45))</f>
        <v/>
      </c>
      <c r="T45" s="11" t="str">
        <f aca="false">IF(COUNT(H45,K45,N45,Q45)=0,"",MAX(H45,K45,N45,Q45))</f>
        <v/>
      </c>
      <c r="U45" s="12" t="n">
        <f aca="false">COUNT(H45,K45,N45,Q45)</f>
        <v>0</v>
      </c>
    </row>
    <row r="46" customFormat="false" ht="15" hidden="false" customHeight="false" outlineLevel="0" collapsed="false">
      <c r="A46" s="6" t="n">
        <v>41</v>
      </c>
      <c r="B46" s="7" t="s">
        <v>72</v>
      </c>
      <c r="C46" s="6" t="s">
        <v>73</v>
      </c>
      <c r="D46" s="6" t="n">
        <v>250</v>
      </c>
      <c r="E46" s="6" t="s">
        <v>29</v>
      </c>
      <c r="F46" s="8"/>
      <c r="G46" s="9"/>
      <c r="H46" s="10" t="str">
        <f aca="false">IF(F46="","",F46*$D46/IF(G46="",$D46,G46))</f>
        <v/>
      </c>
      <c r="I46" s="8"/>
      <c r="J46" s="9"/>
      <c r="K46" s="10" t="str">
        <f aca="false">IF(I46="","",I46*$D46/IF(J46="",$D46,J46))</f>
        <v/>
      </c>
      <c r="L46" s="8"/>
      <c r="M46" s="9"/>
      <c r="N46" s="10" t="str">
        <f aca="false">IF(L46="","",L46*$D46/IF(M46="",$D46,M46))</f>
        <v/>
      </c>
      <c r="O46" s="8"/>
      <c r="P46" s="9"/>
      <c r="Q46" s="10" t="str">
        <f aca="false">IF(O46="","",O46*$D46/IF(P46="",$D46,P46))</f>
        <v/>
      </c>
      <c r="R46" s="11" t="str">
        <f aca="false">IF(COUNT(H46,K46,N46,Q46)=0,"",AVERAGE(H46,K46,N46,Q46))</f>
        <v/>
      </c>
      <c r="S46" s="11" t="str">
        <f aca="false">IF(COUNT(H46,K46,N46,Q46)=0,"",MIN(H46,K46,N46,Q46))</f>
        <v/>
      </c>
      <c r="T46" s="11" t="str">
        <f aca="false">IF(COUNT(H46,K46,N46,Q46)=0,"",MAX(H46,K46,N46,Q46))</f>
        <v/>
      </c>
      <c r="U46" s="12" t="n">
        <f aca="false">COUNT(H46,K46,N46,Q46)</f>
        <v>0</v>
      </c>
    </row>
    <row r="47" customFormat="false" ht="15" hidden="false" customHeight="false" outlineLevel="0" collapsed="false">
      <c r="A47" s="6" t="n">
        <v>42</v>
      </c>
      <c r="B47" s="7" t="s">
        <v>74</v>
      </c>
      <c r="C47" s="6" t="s">
        <v>73</v>
      </c>
      <c r="D47" s="6" t="n">
        <v>250</v>
      </c>
      <c r="E47" s="6" t="s">
        <v>29</v>
      </c>
      <c r="F47" s="8"/>
      <c r="G47" s="9"/>
      <c r="H47" s="10" t="str">
        <f aca="false">IF(F47="","",F47*$D47/IF(G47="",$D47,G47))</f>
        <v/>
      </c>
      <c r="I47" s="8"/>
      <c r="J47" s="9"/>
      <c r="K47" s="10" t="str">
        <f aca="false">IF(I47="","",I47*$D47/IF(J47="",$D47,J47))</f>
        <v/>
      </c>
      <c r="L47" s="8"/>
      <c r="M47" s="9"/>
      <c r="N47" s="10" t="str">
        <f aca="false">IF(L47="","",L47*$D47/IF(M47="",$D47,M47))</f>
        <v/>
      </c>
      <c r="O47" s="8"/>
      <c r="P47" s="9"/>
      <c r="Q47" s="10" t="str">
        <f aca="false">IF(O47="","",O47*$D47/IF(P47="",$D47,P47))</f>
        <v/>
      </c>
      <c r="R47" s="11" t="str">
        <f aca="false">IF(COUNT(H47,K47,N47,Q47)=0,"",AVERAGE(H47,K47,N47,Q47))</f>
        <v/>
      </c>
      <c r="S47" s="11" t="str">
        <f aca="false">IF(COUNT(H47,K47,N47,Q47)=0,"",MIN(H47,K47,N47,Q47))</f>
        <v/>
      </c>
      <c r="T47" s="11" t="str">
        <f aca="false">IF(COUNT(H47,K47,N47,Q47)=0,"",MAX(H47,K47,N47,Q47))</f>
        <v/>
      </c>
      <c r="U47" s="12" t="n">
        <f aca="false">COUNT(H47,K47,N47,Q47)</f>
        <v>0</v>
      </c>
    </row>
    <row r="48" customFormat="false" ht="15" hidden="false" customHeight="false" outlineLevel="0" collapsed="false">
      <c r="A48" s="6" t="n">
        <v>43</v>
      </c>
      <c r="B48" s="7" t="s">
        <v>75</v>
      </c>
      <c r="C48" s="6" t="s">
        <v>28</v>
      </c>
      <c r="D48" s="6" t="n">
        <v>1000</v>
      </c>
      <c r="E48" s="6" t="s">
        <v>29</v>
      </c>
      <c r="F48" s="8"/>
      <c r="G48" s="9"/>
      <c r="H48" s="10" t="str">
        <f aca="false">IF(F48="","",F48*$D48/IF(G48="",$D48,G48))</f>
        <v/>
      </c>
      <c r="I48" s="8"/>
      <c r="J48" s="9"/>
      <c r="K48" s="10" t="str">
        <f aca="false">IF(I48="","",I48*$D48/IF(J48="",$D48,J48))</f>
        <v/>
      </c>
      <c r="L48" s="8"/>
      <c r="M48" s="9"/>
      <c r="N48" s="10" t="str">
        <f aca="false">IF(L48="","",L48*$D48/IF(M48="",$D48,M48))</f>
        <v/>
      </c>
      <c r="O48" s="8"/>
      <c r="P48" s="9"/>
      <c r="Q48" s="10" t="str">
        <f aca="false">IF(O48="","",O48*$D48/IF(P48="",$D48,P48))</f>
        <v/>
      </c>
      <c r="R48" s="11" t="str">
        <f aca="false">IF(COUNT(H48,K48,N48,Q48)=0,"",AVERAGE(H48,K48,N48,Q48))</f>
        <v/>
      </c>
      <c r="S48" s="11" t="str">
        <f aca="false">IF(COUNT(H48,K48,N48,Q48)=0,"",MIN(H48,K48,N48,Q48))</f>
        <v/>
      </c>
      <c r="T48" s="11" t="str">
        <f aca="false">IF(COUNT(H48,K48,N48,Q48)=0,"",MAX(H48,K48,N48,Q48))</f>
        <v/>
      </c>
      <c r="U48" s="12" t="n">
        <f aca="false">COUNT(H48,K48,N48,Q48)</f>
        <v>0</v>
      </c>
    </row>
    <row r="49" customFormat="false" ht="15" hidden="false" customHeight="false" outlineLevel="0" collapsed="false">
      <c r="A49" s="6" t="n">
        <v>44</v>
      </c>
      <c r="B49" s="7" t="s">
        <v>76</v>
      </c>
      <c r="C49" s="6" t="s">
        <v>28</v>
      </c>
      <c r="D49" s="6" t="n">
        <v>1000</v>
      </c>
      <c r="E49" s="6" t="s">
        <v>29</v>
      </c>
      <c r="F49" s="8"/>
      <c r="G49" s="9"/>
      <c r="H49" s="10" t="str">
        <f aca="false">IF(F49="","",F49*$D49/IF(G49="",$D49,G49))</f>
        <v/>
      </c>
      <c r="I49" s="8"/>
      <c r="J49" s="9"/>
      <c r="K49" s="10" t="str">
        <f aca="false">IF(I49="","",I49*$D49/IF(J49="",$D49,J49))</f>
        <v/>
      </c>
      <c r="L49" s="8"/>
      <c r="M49" s="9"/>
      <c r="N49" s="10" t="str">
        <f aca="false">IF(L49="","",L49*$D49/IF(M49="",$D49,M49))</f>
        <v/>
      </c>
      <c r="O49" s="8"/>
      <c r="P49" s="9"/>
      <c r="Q49" s="10" t="str">
        <f aca="false">IF(O49="","",O49*$D49/IF(P49="",$D49,P49))</f>
        <v/>
      </c>
      <c r="R49" s="11" t="str">
        <f aca="false">IF(COUNT(H49,K49,N49,Q49)=0,"",AVERAGE(H49,K49,N49,Q49))</f>
        <v/>
      </c>
      <c r="S49" s="11" t="str">
        <f aca="false">IF(COUNT(H49,K49,N49,Q49)=0,"",MIN(H49,K49,N49,Q49))</f>
        <v/>
      </c>
      <c r="T49" s="11" t="str">
        <f aca="false">IF(COUNT(H49,K49,N49,Q49)=0,"",MAX(H49,K49,N49,Q49))</f>
        <v/>
      </c>
      <c r="U49" s="12" t="n">
        <f aca="false">COUNT(H49,K49,N49,Q49)</f>
        <v>0</v>
      </c>
    </row>
    <row r="50" customFormat="false" ht="15" hidden="false" customHeight="false" outlineLevel="0" collapsed="false">
      <c r="A50" s="6" t="n">
        <v>45</v>
      </c>
      <c r="B50" s="7" t="s">
        <v>77</v>
      </c>
      <c r="C50" s="6" t="s">
        <v>28</v>
      </c>
      <c r="D50" s="6" t="n">
        <v>1000</v>
      </c>
      <c r="E50" s="6" t="s">
        <v>29</v>
      </c>
      <c r="F50" s="8"/>
      <c r="G50" s="9"/>
      <c r="H50" s="10" t="str">
        <f aca="false">IF(F50="","",F50*$D50/IF(G50="",$D50,G50))</f>
        <v/>
      </c>
      <c r="I50" s="8"/>
      <c r="J50" s="9"/>
      <c r="K50" s="10" t="str">
        <f aca="false">IF(I50="","",I50*$D50/IF(J50="",$D50,J50))</f>
        <v/>
      </c>
      <c r="L50" s="8"/>
      <c r="M50" s="9"/>
      <c r="N50" s="10" t="str">
        <f aca="false">IF(L50="","",L50*$D50/IF(M50="",$D50,M50))</f>
        <v/>
      </c>
      <c r="O50" s="8"/>
      <c r="P50" s="9"/>
      <c r="Q50" s="10" t="str">
        <f aca="false">IF(O50="","",O50*$D50/IF(P50="",$D50,P50))</f>
        <v/>
      </c>
      <c r="R50" s="11" t="str">
        <f aca="false">IF(COUNT(H50,K50,N50,Q50)=0,"",AVERAGE(H50,K50,N50,Q50))</f>
        <v/>
      </c>
      <c r="S50" s="11" t="str">
        <f aca="false">IF(COUNT(H50,K50,N50,Q50)=0,"",MIN(H50,K50,N50,Q50))</f>
        <v/>
      </c>
      <c r="T50" s="11" t="str">
        <f aca="false">IF(COUNT(H50,K50,N50,Q50)=0,"",MAX(H50,K50,N50,Q50))</f>
        <v/>
      </c>
      <c r="U50" s="12" t="n">
        <f aca="false">COUNT(H50,K50,N50,Q50)</f>
        <v>0</v>
      </c>
    </row>
    <row r="51" customFormat="false" ht="15" hidden="false" customHeight="false" outlineLevel="0" collapsed="false">
      <c r="A51" s="6" t="n">
        <v>46</v>
      </c>
      <c r="B51" s="7" t="s">
        <v>78</v>
      </c>
      <c r="C51" s="6" t="s">
        <v>28</v>
      </c>
      <c r="D51" s="6" t="n">
        <v>1000</v>
      </c>
      <c r="E51" s="6" t="s">
        <v>29</v>
      </c>
      <c r="F51" s="8"/>
      <c r="G51" s="9"/>
      <c r="H51" s="10" t="str">
        <f aca="false">IF(F51="","",F51*$D51/IF(G51="",$D51,G51))</f>
        <v/>
      </c>
      <c r="I51" s="8"/>
      <c r="J51" s="9"/>
      <c r="K51" s="10" t="str">
        <f aca="false">IF(I51="","",I51*$D51/IF(J51="",$D51,J51))</f>
        <v/>
      </c>
      <c r="L51" s="8"/>
      <c r="M51" s="9"/>
      <c r="N51" s="10" t="str">
        <f aca="false">IF(L51="","",L51*$D51/IF(M51="",$D51,M51))</f>
        <v/>
      </c>
      <c r="O51" s="8"/>
      <c r="P51" s="9"/>
      <c r="Q51" s="10" t="str">
        <f aca="false">IF(O51="","",O51*$D51/IF(P51="",$D51,P51))</f>
        <v/>
      </c>
      <c r="R51" s="11" t="str">
        <f aca="false">IF(COUNT(H51,K51,N51,Q51)=0,"",AVERAGE(H51,K51,N51,Q51))</f>
        <v/>
      </c>
      <c r="S51" s="11" t="str">
        <f aca="false">IF(COUNT(H51,K51,N51,Q51)=0,"",MIN(H51,K51,N51,Q51))</f>
        <v/>
      </c>
      <c r="T51" s="11" t="str">
        <f aca="false">IF(COUNT(H51,K51,N51,Q51)=0,"",MAX(H51,K51,N51,Q51))</f>
        <v/>
      </c>
      <c r="U51" s="12" t="n">
        <f aca="false">COUNT(H51,K51,N51,Q51)</f>
        <v>0</v>
      </c>
    </row>
    <row r="52" customFormat="false" ht="15" hidden="false" customHeight="false" outlineLevel="0" collapsed="false">
      <c r="A52" s="6" t="n">
        <v>47</v>
      </c>
      <c r="B52" s="7" t="s">
        <v>79</v>
      </c>
      <c r="C52" s="6" t="s">
        <v>80</v>
      </c>
      <c r="D52" s="6" t="n">
        <v>12</v>
      </c>
      <c r="E52" s="6" t="s">
        <v>21</v>
      </c>
      <c r="F52" s="8"/>
      <c r="G52" s="9"/>
      <c r="H52" s="10" t="str">
        <f aca="false">IF(F52="","",F52*$D52/IF(G52="",$D52,G52))</f>
        <v/>
      </c>
      <c r="I52" s="8"/>
      <c r="J52" s="9"/>
      <c r="K52" s="10" t="str">
        <f aca="false">IF(I52="","",I52*$D52/IF(J52="",$D52,J52))</f>
        <v/>
      </c>
      <c r="L52" s="8"/>
      <c r="M52" s="9"/>
      <c r="N52" s="10" t="str">
        <f aca="false">IF(L52="","",L52*$D52/IF(M52="",$D52,M52))</f>
        <v/>
      </c>
      <c r="O52" s="8"/>
      <c r="P52" s="9"/>
      <c r="Q52" s="10" t="str">
        <f aca="false">IF(O52="","",O52*$D52/IF(P52="",$D52,P52))</f>
        <v/>
      </c>
      <c r="R52" s="11" t="str">
        <f aca="false">IF(COUNT(H52,K52,N52,Q52)=0,"",AVERAGE(H52,K52,N52,Q52))</f>
        <v/>
      </c>
      <c r="S52" s="11" t="str">
        <f aca="false">IF(COUNT(H52,K52,N52,Q52)=0,"",MIN(H52,K52,N52,Q52))</f>
        <v/>
      </c>
      <c r="T52" s="11" t="str">
        <f aca="false">IF(COUNT(H52,K52,N52,Q52)=0,"",MAX(H52,K52,N52,Q52))</f>
        <v/>
      </c>
      <c r="U52" s="12" t="n">
        <f aca="false">COUNT(H52,K52,N52,Q52)</f>
        <v>0</v>
      </c>
    </row>
    <row r="53" customFormat="false" ht="15" hidden="false" customHeight="false" outlineLevel="0" collapsed="false">
      <c r="A53" s="6" t="n">
        <v>48</v>
      </c>
      <c r="B53" s="7" t="s">
        <v>81</v>
      </c>
      <c r="C53" s="6" t="s">
        <v>25</v>
      </c>
      <c r="D53" s="6" t="n">
        <v>1000</v>
      </c>
      <c r="E53" s="6" t="s">
        <v>26</v>
      </c>
      <c r="F53" s="8"/>
      <c r="G53" s="9"/>
      <c r="H53" s="10" t="str">
        <f aca="false">IF(F53="","",F53*$D53/IF(G53="",$D53,G53))</f>
        <v/>
      </c>
      <c r="I53" s="8"/>
      <c r="J53" s="9"/>
      <c r="K53" s="10" t="str">
        <f aca="false">IF(I53="","",I53*$D53/IF(J53="",$D53,J53))</f>
        <v/>
      </c>
      <c r="L53" s="8"/>
      <c r="M53" s="9"/>
      <c r="N53" s="10" t="str">
        <f aca="false">IF(L53="","",L53*$D53/IF(M53="",$D53,M53))</f>
        <v/>
      </c>
      <c r="O53" s="8"/>
      <c r="P53" s="9"/>
      <c r="Q53" s="10" t="str">
        <f aca="false">IF(O53="","",O53*$D53/IF(P53="",$D53,P53))</f>
        <v/>
      </c>
      <c r="R53" s="11" t="str">
        <f aca="false">IF(COUNT(H53,K53,N53,Q53)=0,"",AVERAGE(H53,K53,N53,Q53))</f>
        <v/>
      </c>
      <c r="S53" s="11" t="str">
        <f aca="false">IF(COUNT(H53,K53,N53,Q53)=0,"",MIN(H53,K53,N53,Q53))</f>
        <v/>
      </c>
      <c r="T53" s="11" t="str">
        <f aca="false">IF(COUNT(H53,K53,N53,Q53)=0,"",MAX(H53,K53,N53,Q53))</f>
        <v/>
      </c>
      <c r="U53" s="12" t="n">
        <f aca="false">COUNT(H53,K53,N53,Q53)</f>
        <v>0</v>
      </c>
    </row>
    <row r="54" customFormat="false" ht="15" hidden="false" customHeight="false" outlineLevel="0" collapsed="false">
      <c r="A54" s="6" t="n">
        <v>49</v>
      </c>
      <c r="B54" s="7" t="s">
        <v>82</v>
      </c>
      <c r="C54" s="6" t="s">
        <v>25</v>
      </c>
      <c r="D54" s="6" t="n">
        <v>1000</v>
      </c>
      <c r="E54" s="6" t="s">
        <v>26</v>
      </c>
      <c r="F54" s="8"/>
      <c r="G54" s="9"/>
      <c r="H54" s="10" t="str">
        <f aca="false">IF(F54="","",F54*$D54/IF(G54="",$D54,G54))</f>
        <v/>
      </c>
      <c r="I54" s="8"/>
      <c r="J54" s="9"/>
      <c r="K54" s="10" t="str">
        <f aca="false">IF(I54="","",I54*$D54/IF(J54="",$D54,J54))</f>
        <v/>
      </c>
      <c r="L54" s="8"/>
      <c r="M54" s="9"/>
      <c r="N54" s="10" t="str">
        <f aca="false">IF(L54="","",L54*$D54/IF(M54="",$D54,M54))</f>
        <v/>
      </c>
      <c r="O54" s="8"/>
      <c r="P54" s="9"/>
      <c r="Q54" s="10" t="str">
        <f aca="false">IF(O54="","",O54*$D54/IF(P54="",$D54,P54))</f>
        <v/>
      </c>
      <c r="R54" s="11" t="str">
        <f aca="false">IF(COUNT(H54,K54,N54,Q54)=0,"",AVERAGE(H54,K54,N54,Q54))</f>
        <v/>
      </c>
      <c r="S54" s="11" t="str">
        <f aca="false">IF(COUNT(H54,K54,N54,Q54)=0,"",MIN(H54,K54,N54,Q54))</f>
        <v/>
      </c>
      <c r="T54" s="11" t="str">
        <f aca="false">IF(COUNT(H54,K54,N54,Q54)=0,"",MAX(H54,K54,N54,Q54))</f>
        <v/>
      </c>
      <c r="U54" s="12" t="n">
        <f aca="false">COUNT(H54,K54,N54,Q54)</f>
        <v>0</v>
      </c>
    </row>
    <row r="55" customFormat="false" ht="15" hidden="false" customHeight="false" outlineLevel="0" collapsed="false">
      <c r="A55" s="6" t="n">
        <v>50</v>
      </c>
      <c r="B55" s="7" t="s">
        <v>83</v>
      </c>
      <c r="C55" s="6" t="s">
        <v>25</v>
      </c>
      <c r="D55" s="6" t="n">
        <v>1000</v>
      </c>
      <c r="E55" s="6" t="s">
        <v>26</v>
      </c>
      <c r="F55" s="8"/>
      <c r="G55" s="9"/>
      <c r="H55" s="10" t="str">
        <f aca="false">IF(F55="","",F55*$D55/IF(G55="",$D55,G55))</f>
        <v/>
      </c>
      <c r="I55" s="8"/>
      <c r="J55" s="9"/>
      <c r="K55" s="10" t="str">
        <f aca="false">IF(I55="","",I55*$D55/IF(J55="",$D55,J55))</f>
        <v/>
      </c>
      <c r="L55" s="8"/>
      <c r="M55" s="9"/>
      <c r="N55" s="10" t="str">
        <f aca="false">IF(L55="","",L55*$D55/IF(M55="",$D55,M55))</f>
        <v/>
      </c>
      <c r="O55" s="8"/>
      <c r="P55" s="9"/>
      <c r="Q55" s="10" t="str">
        <f aca="false">IF(O55="","",O55*$D55/IF(P55="",$D55,P55))</f>
        <v/>
      </c>
      <c r="R55" s="11" t="str">
        <f aca="false">IF(COUNT(H55,K55,N55,Q55)=0,"",AVERAGE(H55,K55,N55,Q55))</f>
        <v/>
      </c>
      <c r="S55" s="11" t="str">
        <f aca="false">IF(COUNT(H55,K55,N55,Q55)=0,"",MIN(H55,K55,N55,Q55))</f>
        <v/>
      </c>
      <c r="T55" s="11" t="str">
        <f aca="false">IF(COUNT(H55,K55,N55,Q55)=0,"",MAX(H55,K55,N55,Q55))</f>
        <v/>
      </c>
      <c r="U55" s="12" t="n">
        <f aca="false">COUNT(H55,K55,N55,Q55)</f>
        <v>0</v>
      </c>
    </row>
    <row r="56" customFormat="false" ht="15" hidden="false" customHeight="false" outlineLevel="0" collapsed="false">
      <c r="A56" s="6" t="n">
        <v>51</v>
      </c>
      <c r="B56" s="7" t="s">
        <v>84</v>
      </c>
      <c r="C56" s="6" t="s">
        <v>85</v>
      </c>
      <c r="D56" s="6" t="n">
        <v>1</v>
      </c>
      <c r="E56" s="6" t="s">
        <v>21</v>
      </c>
      <c r="F56" s="8"/>
      <c r="G56" s="9"/>
      <c r="H56" s="10" t="str">
        <f aca="false">IF(F56="","",F56*$D56/IF(G56="",$D56,G56))</f>
        <v/>
      </c>
      <c r="I56" s="8"/>
      <c r="J56" s="9"/>
      <c r="K56" s="10" t="str">
        <f aca="false">IF(I56="","",I56*$D56/IF(J56="",$D56,J56))</f>
        <v/>
      </c>
      <c r="L56" s="8"/>
      <c r="M56" s="9"/>
      <c r="N56" s="10" t="str">
        <f aca="false">IF(L56="","",L56*$D56/IF(M56="",$D56,M56))</f>
        <v/>
      </c>
      <c r="O56" s="8"/>
      <c r="P56" s="9"/>
      <c r="Q56" s="10" t="str">
        <f aca="false">IF(O56="","",O56*$D56/IF(P56="",$D56,P56))</f>
        <v/>
      </c>
      <c r="R56" s="11" t="str">
        <f aca="false">IF(COUNT(H56,K56,N56,Q56)=0,"",AVERAGE(H56,K56,N56,Q56))</f>
        <v/>
      </c>
      <c r="S56" s="11" t="str">
        <f aca="false">IF(COUNT(H56,K56,N56,Q56)=0,"",MIN(H56,K56,N56,Q56))</f>
        <v/>
      </c>
      <c r="T56" s="11" t="str">
        <f aca="false">IF(COUNT(H56,K56,N56,Q56)=0,"",MAX(H56,K56,N56,Q56))</f>
        <v/>
      </c>
      <c r="U56" s="12" t="n">
        <f aca="false">COUNT(H56,K56,N56,Q56)</f>
        <v>0</v>
      </c>
    </row>
    <row r="57" customFormat="false" ht="15" hidden="false" customHeight="false" outlineLevel="0" collapsed="false">
      <c r="A57" s="6" t="n">
        <v>52</v>
      </c>
      <c r="B57" s="7" t="s">
        <v>86</v>
      </c>
      <c r="C57" s="6" t="s">
        <v>25</v>
      </c>
      <c r="D57" s="6" t="n">
        <v>1000</v>
      </c>
      <c r="E57" s="6" t="s">
        <v>26</v>
      </c>
      <c r="F57" s="8"/>
      <c r="G57" s="9"/>
      <c r="H57" s="10" t="str">
        <f aca="false">IF(F57="","",F57*$D57/IF(G57="",$D57,G57))</f>
        <v/>
      </c>
      <c r="I57" s="8"/>
      <c r="J57" s="9"/>
      <c r="K57" s="10" t="str">
        <f aca="false">IF(I57="","",I57*$D57/IF(J57="",$D57,J57))</f>
        <v/>
      </c>
      <c r="L57" s="8"/>
      <c r="M57" s="9"/>
      <c r="N57" s="10" t="str">
        <f aca="false">IF(L57="","",L57*$D57/IF(M57="",$D57,M57))</f>
        <v/>
      </c>
      <c r="O57" s="8"/>
      <c r="P57" s="9"/>
      <c r="Q57" s="10" t="str">
        <f aca="false">IF(O57="","",O57*$D57/IF(P57="",$D57,P57))</f>
        <v/>
      </c>
      <c r="R57" s="11" t="str">
        <f aca="false">IF(COUNT(H57,K57,N57,Q57)=0,"",AVERAGE(H57,K57,N57,Q57))</f>
        <v/>
      </c>
      <c r="S57" s="11" t="str">
        <f aca="false">IF(COUNT(H57,K57,N57,Q57)=0,"",MIN(H57,K57,N57,Q57))</f>
        <v/>
      </c>
      <c r="T57" s="11" t="str">
        <f aca="false">IF(COUNT(H57,K57,N57,Q57)=0,"",MAX(H57,K57,N57,Q57))</f>
        <v/>
      </c>
      <c r="U57" s="12" t="n">
        <f aca="false">COUNT(H57,K57,N57,Q57)</f>
        <v>0</v>
      </c>
    </row>
    <row r="58" customFormat="false" ht="15" hidden="false" customHeight="false" outlineLevel="0" collapsed="false">
      <c r="A58" s="6" t="n">
        <v>53</v>
      </c>
      <c r="B58" s="7" t="s">
        <v>87</v>
      </c>
      <c r="C58" s="6" t="s">
        <v>25</v>
      </c>
      <c r="D58" s="6" t="n">
        <v>1000</v>
      </c>
      <c r="E58" s="6" t="s">
        <v>26</v>
      </c>
      <c r="F58" s="8"/>
      <c r="G58" s="9"/>
      <c r="H58" s="10" t="str">
        <f aca="false">IF(F58="","",F58*$D58/IF(G58="",$D58,G58))</f>
        <v/>
      </c>
      <c r="I58" s="8"/>
      <c r="J58" s="9"/>
      <c r="K58" s="10" t="str">
        <f aca="false">IF(I58="","",I58*$D58/IF(J58="",$D58,J58))</f>
        <v/>
      </c>
      <c r="L58" s="8"/>
      <c r="M58" s="9"/>
      <c r="N58" s="10" t="str">
        <f aca="false">IF(L58="","",L58*$D58/IF(M58="",$D58,M58))</f>
        <v/>
      </c>
      <c r="O58" s="8"/>
      <c r="P58" s="9"/>
      <c r="Q58" s="10" t="str">
        <f aca="false">IF(O58="","",O58*$D58/IF(P58="",$D58,P58))</f>
        <v/>
      </c>
      <c r="R58" s="11" t="str">
        <f aca="false">IF(COUNT(H58,K58,N58,Q58)=0,"",AVERAGE(H58,K58,N58,Q58))</f>
        <v/>
      </c>
      <c r="S58" s="11" t="str">
        <f aca="false">IF(COUNT(H58,K58,N58,Q58)=0,"",MIN(H58,K58,N58,Q58))</f>
        <v/>
      </c>
      <c r="T58" s="11" t="str">
        <f aca="false">IF(COUNT(H58,K58,N58,Q58)=0,"",MAX(H58,K58,N58,Q58))</f>
        <v/>
      </c>
      <c r="U58" s="12" t="n">
        <f aca="false">COUNT(H58,K58,N58,Q58)</f>
        <v>0</v>
      </c>
    </row>
    <row r="59" customFormat="false" ht="15" hidden="false" customHeight="false" outlineLevel="0" collapsed="false">
      <c r="A59" s="6" t="n">
        <v>54</v>
      </c>
      <c r="B59" s="7" t="s">
        <v>88</v>
      </c>
      <c r="C59" s="6" t="s">
        <v>28</v>
      </c>
      <c r="D59" s="6" t="n">
        <v>1000</v>
      </c>
      <c r="E59" s="6" t="s">
        <v>29</v>
      </c>
      <c r="F59" s="8"/>
      <c r="G59" s="9"/>
      <c r="H59" s="10" t="str">
        <f aca="false">IF(F59="","",F59*$D59/IF(G59="",$D59,G59))</f>
        <v/>
      </c>
      <c r="I59" s="8"/>
      <c r="J59" s="9"/>
      <c r="K59" s="10" t="str">
        <f aca="false">IF(I59="","",I59*$D59/IF(J59="",$D59,J59))</f>
        <v/>
      </c>
      <c r="L59" s="8"/>
      <c r="M59" s="9"/>
      <c r="N59" s="10" t="str">
        <f aca="false">IF(L59="","",L59*$D59/IF(M59="",$D59,M59))</f>
        <v/>
      </c>
      <c r="O59" s="8"/>
      <c r="P59" s="9"/>
      <c r="Q59" s="10" t="str">
        <f aca="false">IF(O59="","",O59*$D59/IF(P59="",$D59,P59))</f>
        <v/>
      </c>
      <c r="R59" s="11" t="str">
        <f aca="false">IF(COUNT(H59,K59,N59,Q59)=0,"",AVERAGE(H59,K59,N59,Q59))</f>
        <v/>
      </c>
      <c r="S59" s="11" t="str">
        <f aca="false">IF(COUNT(H59,K59,N59,Q59)=0,"",MIN(H59,K59,N59,Q59))</f>
        <v/>
      </c>
      <c r="T59" s="11" t="str">
        <f aca="false">IF(COUNT(H59,K59,N59,Q59)=0,"",MAX(H59,K59,N59,Q59))</f>
        <v/>
      </c>
      <c r="U59" s="12" t="n">
        <f aca="false">COUNT(H59,K59,N59,Q59)</f>
        <v>0</v>
      </c>
    </row>
    <row r="60" customFormat="false" ht="15" hidden="false" customHeight="false" outlineLevel="0" collapsed="false">
      <c r="A60" s="6" t="n">
        <v>55</v>
      </c>
      <c r="B60" s="7" t="s">
        <v>89</v>
      </c>
      <c r="C60" s="6" t="s">
        <v>25</v>
      </c>
      <c r="D60" s="6" t="n">
        <v>1000</v>
      </c>
      <c r="E60" s="6" t="s">
        <v>26</v>
      </c>
      <c r="F60" s="8"/>
      <c r="G60" s="9"/>
      <c r="H60" s="10" t="str">
        <f aca="false">IF(F60="","",F60*$D60/IF(G60="",$D60,G60))</f>
        <v/>
      </c>
      <c r="I60" s="8"/>
      <c r="J60" s="9"/>
      <c r="K60" s="10" t="str">
        <f aca="false">IF(I60="","",I60*$D60/IF(J60="",$D60,J60))</f>
        <v/>
      </c>
      <c r="L60" s="8"/>
      <c r="M60" s="9"/>
      <c r="N60" s="10" t="str">
        <f aca="false">IF(L60="","",L60*$D60/IF(M60="",$D60,M60))</f>
        <v/>
      </c>
      <c r="O60" s="8"/>
      <c r="P60" s="9"/>
      <c r="Q60" s="10" t="str">
        <f aca="false">IF(O60="","",O60*$D60/IF(P60="",$D60,P60))</f>
        <v/>
      </c>
      <c r="R60" s="11" t="str">
        <f aca="false">IF(COUNT(H60,K60,N60,Q60)=0,"",AVERAGE(H60,K60,N60,Q60))</f>
        <v/>
      </c>
      <c r="S60" s="11" t="str">
        <f aca="false">IF(COUNT(H60,K60,N60,Q60)=0,"",MIN(H60,K60,N60,Q60))</f>
        <v/>
      </c>
      <c r="T60" s="11" t="str">
        <f aca="false">IF(COUNT(H60,K60,N60,Q60)=0,"",MAX(H60,K60,N60,Q60))</f>
        <v/>
      </c>
      <c r="U60" s="12" t="n">
        <f aca="false">COUNT(H60,K60,N60,Q60)</f>
        <v>0</v>
      </c>
    </row>
    <row r="61" customFormat="false" ht="15" hidden="false" customHeight="false" outlineLevel="0" collapsed="false">
      <c r="A61" s="6" t="n">
        <v>56</v>
      </c>
      <c r="B61" s="7" t="s">
        <v>90</v>
      </c>
      <c r="C61" s="6" t="s">
        <v>25</v>
      </c>
      <c r="D61" s="6" t="n">
        <v>1000</v>
      </c>
      <c r="E61" s="6" t="s">
        <v>26</v>
      </c>
      <c r="F61" s="8"/>
      <c r="G61" s="9"/>
      <c r="H61" s="10" t="str">
        <f aca="false">IF(F61="","",F61*$D61/IF(G61="",$D61,G61))</f>
        <v/>
      </c>
      <c r="I61" s="8"/>
      <c r="J61" s="9"/>
      <c r="K61" s="10" t="str">
        <f aca="false">IF(I61="","",I61*$D61/IF(J61="",$D61,J61))</f>
        <v/>
      </c>
      <c r="L61" s="8"/>
      <c r="M61" s="9"/>
      <c r="N61" s="10" t="str">
        <f aca="false">IF(L61="","",L61*$D61/IF(M61="",$D61,M61))</f>
        <v/>
      </c>
      <c r="O61" s="8"/>
      <c r="P61" s="9"/>
      <c r="Q61" s="10" t="str">
        <f aca="false">IF(O61="","",O61*$D61/IF(P61="",$D61,P61))</f>
        <v/>
      </c>
      <c r="R61" s="11" t="str">
        <f aca="false">IF(COUNT(H61,K61,N61,Q61)=0,"",AVERAGE(H61,K61,N61,Q61))</f>
        <v/>
      </c>
      <c r="S61" s="11" t="str">
        <f aca="false">IF(COUNT(H61,K61,N61,Q61)=0,"",MIN(H61,K61,N61,Q61))</f>
        <v/>
      </c>
      <c r="T61" s="11" t="str">
        <f aca="false">IF(COUNT(H61,K61,N61,Q61)=0,"",MAX(H61,K61,N61,Q61))</f>
        <v/>
      </c>
      <c r="U61" s="12" t="n">
        <f aca="false">COUNT(H61,K61,N61,Q61)</f>
        <v>0</v>
      </c>
    </row>
    <row r="62" customFormat="false" ht="15" hidden="false" customHeight="false" outlineLevel="0" collapsed="false">
      <c r="A62" s="6" t="n">
        <v>57</v>
      </c>
      <c r="B62" s="7" t="s">
        <v>91</v>
      </c>
      <c r="C62" s="6" t="s">
        <v>92</v>
      </c>
      <c r="D62" s="6" t="n">
        <v>100</v>
      </c>
      <c r="E62" s="6" t="s">
        <v>26</v>
      </c>
      <c r="F62" s="8"/>
      <c r="G62" s="9"/>
      <c r="H62" s="10" t="str">
        <f aca="false">IF(F62="","",F62*$D62/IF(G62="",$D62,G62))</f>
        <v/>
      </c>
      <c r="I62" s="8"/>
      <c r="J62" s="9"/>
      <c r="K62" s="10" t="str">
        <f aca="false">IF(I62="","",I62*$D62/IF(J62="",$D62,J62))</f>
        <v/>
      </c>
      <c r="L62" s="8"/>
      <c r="M62" s="9"/>
      <c r="N62" s="10" t="str">
        <f aca="false">IF(L62="","",L62*$D62/IF(M62="",$D62,M62))</f>
        <v/>
      </c>
      <c r="O62" s="8"/>
      <c r="P62" s="9"/>
      <c r="Q62" s="10" t="str">
        <f aca="false">IF(O62="","",O62*$D62/IF(P62="",$D62,P62))</f>
        <v/>
      </c>
      <c r="R62" s="11" t="str">
        <f aca="false">IF(COUNT(H62,K62,N62,Q62)=0,"",AVERAGE(H62,K62,N62,Q62))</f>
        <v/>
      </c>
      <c r="S62" s="11" t="str">
        <f aca="false">IF(COUNT(H62,K62,N62,Q62)=0,"",MIN(H62,K62,N62,Q62))</f>
        <v/>
      </c>
      <c r="T62" s="11" t="str">
        <f aca="false">IF(COUNT(H62,K62,N62,Q62)=0,"",MAX(H62,K62,N62,Q62))</f>
        <v/>
      </c>
      <c r="U62" s="12" t="n">
        <f aca="false">COUNT(H62,K62,N62,Q62)</f>
        <v>0</v>
      </c>
    </row>
    <row r="63" customFormat="false" ht="15" hidden="false" customHeight="false" outlineLevel="0" collapsed="false">
      <c r="A63" s="6" t="n">
        <v>58</v>
      </c>
      <c r="B63" s="7" t="s">
        <v>93</v>
      </c>
      <c r="C63" s="6" t="s">
        <v>25</v>
      </c>
      <c r="D63" s="6" t="n">
        <v>1000</v>
      </c>
      <c r="E63" s="6" t="s">
        <v>26</v>
      </c>
      <c r="F63" s="8"/>
      <c r="G63" s="9"/>
      <c r="H63" s="10" t="str">
        <f aca="false">IF(F63="","",F63*$D63/IF(G63="",$D63,G63))</f>
        <v/>
      </c>
      <c r="I63" s="8"/>
      <c r="J63" s="9"/>
      <c r="K63" s="10" t="str">
        <f aca="false">IF(I63="","",I63*$D63/IF(J63="",$D63,J63))</f>
        <v/>
      </c>
      <c r="L63" s="8"/>
      <c r="M63" s="9"/>
      <c r="N63" s="10" t="str">
        <f aca="false">IF(L63="","",L63*$D63/IF(M63="",$D63,M63))</f>
        <v/>
      </c>
      <c r="O63" s="8"/>
      <c r="P63" s="9"/>
      <c r="Q63" s="10" t="str">
        <f aca="false">IF(O63="","",O63*$D63/IF(P63="",$D63,P63))</f>
        <v/>
      </c>
      <c r="R63" s="11" t="str">
        <f aca="false">IF(COUNT(H63,K63,N63,Q63)=0,"",AVERAGE(H63,K63,N63,Q63))</f>
        <v/>
      </c>
      <c r="S63" s="11" t="str">
        <f aca="false">IF(COUNT(H63,K63,N63,Q63)=0,"",MIN(H63,K63,N63,Q63))</f>
        <v/>
      </c>
      <c r="T63" s="11" t="str">
        <f aca="false">IF(COUNT(H63,K63,N63,Q63)=0,"",MAX(H63,K63,N63,Q63))</f>
        <v/>
      </c>
      <c r="U63" s="12" t="n">
        <f aca="false">COUNT(H63,K63,N63,Q63)</f>
        <v>0</v>
      </c>
    </row>
    <row r="64" customFormat="false" ht="15" hidden="false" customHeight="false" outlineLevel="0" collapsed="false">
      <c r="A64" s="6" t="n">
        <v>59</v>
      </c>
      <c r="B64" s="7" t="s">
        <v>94</v>
      </c>
      <c r="C64" s="6" t="s">
        <v>73</v>
      </c>
      <c r="D64" s="6" t="n">
        <v>250</v>
      </c>
      <c r="E64" s="6" t="s">
        <v>29</v>
      </c>
      <c r="F64" s="8"/>
      <c r="G64" s="9"/>
      <c r="H64" s="10" t="str">
        <f aca="false">IF(F64="","",F64*$D64/IF(G64="",$D64,G64))</f>
        <v/>
      </c>
      <c r="I64" s="8"/>
      <c r="J64" s="9"/>
      <c r="K64" s="10" t="str">
        <f aca="false">IF(I64="","",I64*$D64/IF(J64="",$D64,J64))</f>
        <v/>
      </c>
      <c r="L64" s="8"/>
      <c r="M64" s="9"/>
      <c r="N64" s="10" t="str">
        <f aca="false">IF(L64="","",L64*$D64/IF(M64="",$D64,M64))</f>
        <v/>
      </c>
      <c r="O64" s="8"/>
      <c r="P64" s="9"/>
      <c r="Q64" s="10" t="str">
        <f aca="false">IF(O64="","",O64*$D64/IF(P64="",$D64,P64))</f>
        <v/>
      </c>
      <c r="R64" s="11" t="str">
        <f aca="false">IF(COUNT(H64,K64,N64,Q64)=0,"",AVERAGE(H64,K64,N64,Q64))</f>
        <v/>
      </c>
      <c r="S64" s="11" t="str">
        <f aca="false">IF(COUNT(H64,K64,N64,Q64)=0,"",MIN(H64,K64,N64,Q64))</f>
        <v/>
      </c>
      <c r="T64" s="11" t="str">
        <f aca="false">IF(COUNT(H64,K64,N64,Q64)=0,"",MAX(H64,K64,N64,Q64))</f>
        <v/>
      </c>
      <c r="U64" s="12" t="n">
        <f aca="false">COUNT(H64,K64,N64,Q64)</f>
        <v>0</v>
      </c>
    </row>
    <row r="65" customFormat="false" ht="15" hidden="false" customHeight="false" outlineLevel="0" collapsed="false">
      <c r="A65" s="6" t="n">
        <v>60</v>
      </c>
      <c r="B65" s="7" t="s">
        <v>95</v>
      </c>
      <c r="C65" s="6" t="s">
        <v>28</v>
      </c>
      <c r="D65" s="6" t="n">
        <v>1000</v>
      </c>
      <c r="E65" s="6" t="s">
        <v>29</v>
      </c>
      <c r="F65" s="8"/>
      <c r="G65" s="9"/>
      <c r="H65" s="10" t="str">
        <f aca="false">IF(F65="","",F65*$D65/IF(G65="",$D65,G65))</f>
        <v/>
      </c>
      <c r="I65" s="8"/>
      <c r="J65" s="9"/>
      <c r="K65" s="10" t="str">
        <f aca="false">IF(I65="","",I65*$D65/IF(J65="",$D65,J65))</f>
        <v/>
      </c>
      <c r="L65" s="8"/>
      <c r="M65" s="9"/>
      <c r="N65" s="10" t="str">
        <f aca="false">IF(L65="","",L65*$D65/IF(M65="",$D65,M65))</f>
        <v/>
      </c>
      <c r="O65" s="8"/>
      <c r="P65" s="9"/>
      <c r="Q65" s="10" t="str">
        <f aca="false">IF(O65="","",O65*$D65/IF(P65="",$D65,P65))</f>
        <v/>
      </c>
      <c r="R65" s="11" t="str">
        <f aca="false">IF(COUNT(H65,K65,N65,Q65)=0,"",AVERAGE(H65,K65,N65,Q65))</f>
        <v/>
      </c>
      <c r="S65" s="11" t="str">
        <f aca="false">IF(COUNT(H65,K65,N65,Q65)=0,"",MIN(H65,K65,N65,Q65))</f>
        <v/>
      </c>
      <c r="T65" s="11" t="str">
        <f aca="false">IF(COUNT(H65,K65,N65,Q65)=0,"",MAX(H65,K65,N65,Q65))</f>
        <v/>
      </c>
      <c r="U65" s="12" t="n">
        <f aca="false">COUNT(H65,K65,N65,Q65)</f>
        <v>0</v>
      </c>
    </row>
    <row r="66" customFormat="false" ht="15" hidden="false" customHeight="false" outlineLevel="0" collapsed="false">
      <c r="A66" s="6" t="n">
        <v>61</v>
      </c>
      <c r="B66" s="7" t="s">
        <v>96</v>
      </c>
      <c r="C66" s="6" t="s">
        <v>25</v>
      </c>
      <c r="D66" s="6" t="n">
        <v>1000</v>
      </c>
      <c r="E66" s="6" t="s">
        <v>26</v>
      </c>
      <c r="F66" s="8"/>
      <c r="G66" s="9"/>
      <c r="H66" s="10" t="str">
        <f aca="false">IF(F66="","",F66*$D66/IF(G66="",$D66,G66))</f>
        <v/>
      </c>
      <c r="I66" s="8"/>
      <c r="J66" s="9"/>
      <c r="K66" s="10" t="str">
        <f aca="false">IF(I66="","",I66*$D66/IF(J66="",$D66,J66))</f>
        <v/>
      </c>
      <c r="L66" s="8"/>
      <c r="M66" s="9"/>
      <c r="N66" s="10" t="str">
        <f aca="false">IF(L66="","",L66*$D66/IF(M66="",$D66,M66))</f>
        <v/>
      </c>
      <c r="O66" s="8"/>
      <c r="P66" s="9"/>
      <c r="Q66" s="10" t="str">
        <f aca="false">IF(O66="","",O66*$D66/IF(P66="",$D66,P66))</f>
        <v/>
      </c>
      <c r="R66" s="11" t="str">
        <f aca="false">IF(COUNT(H66,K66,N66,Q66)=0,"",AVERAGE(H66,K66,N66,Q66))</f>
        <v/>
      </c>
      <c r="S66" s="11" t="str">
        <f aca="false">IF(COUNT(H66,K66,N66,Q66)=0,"",MIN(H66,K66,N66,Q66))</f>
        <v/>
      </c>
      <c r="T66" s="11" t="str">
        <f aca="false">IF(COUNT(H66,K66,N66,Q66)=0,"",MAX(H66,K66,N66,Q66))</f>
        <v/>
      </c>
      <c r="U66" s="12" t="n">
        <f aca="false">COUNT(H66,K66,N66,Q66)</f>
        <v>0</v>
      </c>
    </row>
    <row r="67" customFormat="false" ht="15" hidden="false" customHeight="false" outlineLevel="0" collapsed="false">
      <c r="A67" s="6" t="n">
        <v>62</v>
      </c>
      <c r="B67" s="7" t="s">
        <v>97</v>
      </c>
      <c r="C67" s="6" t="s">
        <v>20</v>
      </c>
      <c r="D67" s="6" t="n">
        <v>1</v>
      </c>
      <c r="E67" s="6" t="s">
        <v>21</v>
      </c>
      <c r="F67" s="8"/>
      <c r="G67" s="9"/>
      <c r="H67" s="10" t="str">
        <f aca="false">IF(F67="","",F67*$D67/IF(G67="",$D67,G67))</f>
        <v/>
      </c>
      <c r="I67" s="8"/>
      <c r="J67" s="9"/>
      <c r="K67" s="10" t="str">
        <f aca="false">IF(I67="","",I67*$D67/IF(J67="",$D67,J67))</f>
        <v/>
      </c>
      <c r="L67" s="8"/>
      <c r="M67" s="9"/>
      <c r="N67" s="10" t="str">
        <f aca="false">IF(L67="","",L67*$D67/IF(M67="",$D67,M67))</f>
        <v/>
      </c>
      <c r="O67" s="8"/>
      <c r="P67" s="9"/>
      <c r="Q67" s="10" t="str">
        <f aca="false">IF(O67="","",O67*$D67/IF(P67="",$D67,P67))</f>
        <v/>
      </c>
      <c r="R67" s="11" t="str">
        <f aca="false">IF(COUNT(H67,K67,N67,Q67)=0,"",AVERAGE(H67,K67,N67,Q67))</f>
        <v/>
      </c>
      <c r="S67" s="11" t="str">
        <f aca="false">IF(COUNT(H67,K67,N67,Q67)=0,"",MIN(H67,K67,N67,Q67))</f>
        <v/>
      </c>
      <c r="T67" s="11" t="str">
        <f aca="false">IF(COUNT(H67,K67,N67,Q67)=0,"",MAX(H67,K67,N67,Q67))</f>
        <v/>
      </c>
      <c r="U67" s="12" t="n">
        <f aca="false">COUNT(H67,K67,N67,Q67)</f>
        <v>0</v>
      </c>
    </row>
    <row r="68" customFormat="false" ht="15" hidden="false" customHeight="false" outlineLevel="0" collapsed="false">
      <c r="A68" s="13" t="s">
        <v>98</v>
      </c>
      <c r="B68" s="13"/>
      <c r="C68" s="13"/>
      <c r="D68" s="13"/>
      <c r="E68" s="13"/>
      <c r="F68" s="14"/>
      <c r="G68" s="14"/>
      <c r="H68" s="15" t="n">
        <f aca="false">SUM(H6:H67)</f>
        <v>0</v>
      </c>
      <c r="I68" s="14"/>
      <c r="J68" s="14"/>
      <c r="K68" s="15" t="n">
        <f aca="false">SUM(K6:K67)</f>
        <v>0</v>
      </c>
      <c r="L68" s="14"/>
      <c r="M68" s="14"/>
      <c r="N68" s="15" t="n">
        <f aca="false">SUM(N6:N67)</f>
        <v>0</v>
      </c>
      <c r="O68" s="14"/>
      <c r="P68" s="14"/>
      <c r="Q68" s="15" t="n">
        <f aca="false">SUM(Q6:Q67)</f>
        <v>0</v>
      </c>
      <c r="R68" s="15" t="n">
        <f aca="false">SUM(R6:R67)</f>
        <v>0</v>
      </c>
      <c r="S68" s="15" t="n">
        <f aca="false">SUM(S6:S67)</f>
        <v>0</v>
      </c>
      <c r="T68" s="15" t="n">
        <f aca="false">SUM(T6:T67)</f>
        <v>0</v>
      </c>
      <c r="U68" s="14"/>
    </row>
  </sheetData>
  <mergeCells count="11">
    <mergeCell ref="A4:A5"/>
    <mergeCell ref="B4:B5"/>
    <mergeCell ref="C4:C5"/>
    <mergeCell ref="D4:D5"/>
    <mergeCell ref="E4:E5"/>
    <mergeCell ref="F4:H4"/>
    <mergeCell ref="I4:K4"/>
    <mergeCell ref="L4:N4"/>
    <mergeCell ref="O4:Q4"/>
    <mergeCell ref="R4:U4"/>
    <mergeCell ref="A68:E68"/>
  </mergeCells>
  <conditionalFormatting sqref="H6:H67">
    <cfRule type="expression" priority="2" aboveAverage="0" equalAverage="0" bottom="0" percent="0" rank="0" text="" dxfId="0">
      <formula>AND($F6&lt;&gt;"",G6&lt;&gt;"",G6&lt;&gt;$D6)</formula>
    </cfRule>
  </conditionalFormatting>
  <conditionalFormatting sqref="K6:K67">
    <cfRule type="expression" priority="3" aboveAverage="0" equalAverage="0" bottom="0" percent="0" rank="0" text="" dxfId="0">
      <formula>AND($I6&lt;&gt;"",J6&lt;&gt;"",J6&lt;&gt;$D6)</formula>
    </cfRule>
  </conditionalFormatting>
  <conditionalFormatting sqref="N6:N67">
    <cfRule type="expression" priority="4" aboveAverage="0" equalAverage="0" bottom="0" percent="0" rank="0" text="" dxfId="0">
      <formula>AND($L6&lt;&gt;"",M6&lt;&gt;"",M6&lt;&gt;$D6)</formula>
    </cfRule>
  </conditionalFormatting>
  <conditionalFormatting sqref="Q6:Q67">
    <cfRule type="expression" priority="5" aboveAverage="0" equalAverage="0" bottom="0" percent="0" rank="0" text="" dxfId="0">
      <formula>AND($O6&lt;&gt;"",P6&lt;&gt;"",P6&lt;&gt;$D6)</formula>
    </cfRule>
  </conditionalFormatting>
  <dataValidations count="1">
    <dataValidation allowBlank="false" error="Digite um número maior que zero." errorStyle="stop" errorTitle="Valor inválido" operator="greaterThan" showDropDown="false" showErrorMessage="true" showInputMessage="false" sqref="F6:G67 I6:J67 L6:M67 O6:P67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16" t="s">
        <v>99</v>
      </c>
    </row>
    <row r="2" customFormat="false" ht="15" hidden="false" customHeight="false" outlineLevel="0" collapsed="false">
      <c r="A2" s="17" t="s">
        <v>100</v>
      </c>
    </row>
    <row r="3" customFormat="false" ht="15" hidden="false" customHeight="false" outlineLevel="0" collapsed="false">
      <c r="A3" s="17" t="s">
        <v>101</v>
      </c>
    </row>
    <row r="4" customFormat="false" ht="15" hidden="false" customHeight="false" outlineLevel="0" collapsed="false">
      <c r="A4" s="17" t="s">
        <v>102</v>
      </c>
    </row>
    <row r="5" customFormat="false" ht="15" hidden="false" customHeight="false" outlineLevel="0" collapsed="false">
      <c r="A5" s="17" t="s">
        <v>103</v>
      </c>
    </row>
    <row r="6" customFormat="false" ht="15" hidden="false" customHeight="false" outlineLevel="0" collapsed="false">
      <c r="A6" s="17" t="s">
        <v>104</v>
      </c>
    </row>
    <row r="7" customFormat="false" ht="15" hidden="false" customHeight="false" outlineLevel="0" collapsed="false">
      <c r="A7" s="17" t="s">
        <v>105</v>
      </c>
    </row>
    <row r="8" customFormat="false" ht="15" hidden="false" customHeight="false" outlineLevel="0" collapsed="false">
      <c r="A8" s="17"/>
    </row>
    <row r="9" customFormat="false" ht="15" hidden="false" customHeight="false" outlineLevel="0" collapsed="false">
      <c r="A9" s="16" t="s">
        <v>106</v>
      </c>
    </row>
    <row r="10" customFormat="false" ht="15" hidden="false" customHeight="false" outlineLevel="0" collapsed="false">
      <c r="A10" s="17" t="s">
        <v>107</v>
      </c>
    </row>
    <row r="11" customFormat="false" ht="15" hidden="false" customHeight="false" outlineLevel="0" collapsed="false">
      <c r="A11" s="17" t="s">
        <v>108</v>
      </c>
    </row>
    <row r="12" customFormat="false" ht="15" hidden="false" customHeight="false" outlineLevel="0" collapsed="false">
      <c r="A12" s="17"/>
    </row>
    <row r="13" customFormat="false" ht="15" hidden="false" customHeight="false" outlineLevel="0" collapsed="false">
      <c r="A13" s="16" t="s">
        <v>109</v>
      </c>
    </row>
    <row r="14" customFormat="false" ht="26.85" hidden="false" customHeight="false" outlineLevel="0" collapsed="false">
      <c r="A14" s="3" t="s">
        <v>3</v>
      </c>
      <c r="B14" s="3" t="s">
        <v>5</v>
      </c>
      <c r="C14" s="3" t="s">
        <v>6</v>
      </c>
      <c r="D14" s="3" t="s">
        <v>110</v>
      </c>
      <c r="E14" s="3" t="s">
        <v>13</v>
      </c>
      <c r="F14" s="3" t="s">
        <v>111</v>
      </c>
    </row>
    <row r="15" customFormat="false" ht="15" hidden="false" customHeight="false" outlineLevel="0" collapsed="false">
      <c r="A15" s="18" t="s">
        <v>22</v>
      </c>
      <c r="B15" s="19" t="n">
        <v>10</v>
      </c>
      <c r="C15" s="19" t="s">
        <v>21</v>
      </c>
      <c r="D15" s="20" t="n">
        <v>6</v>
      </c>
      <c r="E15" s="21" t="n">
        <v>8</v>
      </c>
      <c r="F15" s="10" t="n">
        <f aca="false">IF(D15="","",D15*B15/IF(E15="",B15,E15))</f>
        <v>7.5</v>
      </c>
    </row>
    <row r="16" customFormat="false" ht="15" hidden="false" customHeight="false" outlineLevel="0" collapsed="false">
      <c r="A16" s="18" t="s">
        <v>42</v>
      </c>
      <c r="B16" s="19" t="n">
        <v>1000</v>
      </c>
      <c r="C16" s="19" t="s">
        <v>26</v>
      </c>
      <c r="D16" s="20" t="n">
        <v>9</v>
      </c>
      <c r="E16" s="21" t="n">
        <v>250</v>
      </c>
      <c r="F16" s="10" t="n">
        <f aca="false">IF(D16="","",D16*B16/IF(E16="",B16,E16))</f>
        <v>36</v>
      </c>
    </row>
    <row r="17" customFormat="false" ht="15" hidden="false" customHeight="false" outlineLevel="0" collapsed="false">
      <c r="A17" s="18" t="s">
        <v>33</v>
      </c>
      <c r="B17" s="19" t="n">
        <v>1000</v>
      </c>
      <c r="C17" s="19" t="s">
        <v>26</v>
      </c>
      <c r="D17" s="20" t="n">
        <v>25</v>
      </c>
      <c r="E17" s="21" t="n">
        <v>5000</v>
      </c>
      <c r="F17" s="10" t="n">
        <f aca="false">IF(D17="","",D17*B17/IF(E17="",B17,E17))</f>
        <v>5</v>
      </c>
    </row>
    <row r="18" customFormat="false" ht="15" hidden="false" customHeight="false" outlineLevel="0" collapsed="false">
      <c r="A18" s="18" t="s">
        <v>24</v>
      </c>
      <c r="B18" s="19" t="n">
        <v>1000</v>
      </c>
      <c r="C18" s="19" t="s">
        <v>26</v>
      </c>
      <c r="D18" s="20" t="n">
        <v>4.5</v>
      </c>
      <c r="E18" s="21"/>
      <c r="F18" s="10" t="n">
        <f aca="false">IF(D18="","",D18*B18/IF(E18="",B18,E18))</f>
        <v>4.5</v>
      </c>
    </row>
    <row r="19" customFormat="false" ht="15" hidden="false" customHeight="false" outlineLevel="0" collapsed="false">
      <c r="A19" s="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2026-09-24T02:30:51Z</dcterms:created>
  <dc:creator>openpyxl</dc:creator>
  <dc:description/>
  <dc:language>en-US</dc:language>
  <cp:lastModifiedBy/>
  <dcterms:modified xsi:type="dcterms:W3CDTF">2026-09-24T02:30:51Z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